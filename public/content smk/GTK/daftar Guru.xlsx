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495" windowWidth="20730" windowHeight="11760"/>
  </bookViews>
  <sheets>
    <sheet name="RESTRIBUSI MASTER" sheetId="2" state="hidden" r:id="rId1"/>
    <sheet name="KD-MAPEL master" sheetId="4" state="hidden" r:id="rId2"/>
    <sheet name="Sheet1" sheetId="14" r:id="rId3"/>
    <sheet name="Sheet2" sheetId="15" r:id="rId4"/>
    <sheet name="TITL" sheetId="8" state="hidden" r:id="rId5"/>
    <sheet name="JADWAL TERBARU XXXX" sheetId="11" state="hidden" r:id="rId6"/>
  </sheets>
  <definedNames>
    <definedName name="_xlnm._FilterDatabase" localSheetId="1" hidden="1">'KD-MAPEL master'!$A$1:$D$1</definedName>
    <definedName name="_xlnm._FilterDatabase" localSheetId="0" hidden="1">'RESTRIBUSI MASTER'!$A$1:$K$121</definedName>
    <definedName name="_xlnm._FilterDatabase" localSheetId="2" hidden="1">Sheet1!$A$1:$C$67</definedName>
    <definedName name="_xlnm._FilterDatabase" localSheetId="3" hidden="1">Sheet2!$B$2:$C$12</definedName>
    <definedName name="jdlx">'JADWAL TERBARU XXXX'!$Q$1</definedName>
    <definedName name="KDGURU">#REF!</definedName>
    <definedName name="KDMAPEL" localSheetId="1">'KD-MAPEL master'!$A$2:$D$70</definedName>
    <definedName name="KDMAPEL">#REF!</definedName>
    <definedName name="RESTRIBUSI" localSheetId="0">'RESTRIBUSI MASTER'!$A$3:$M$121</definedName>
    <definedName name="RESTRIBUSI">#REF!</definedName>
    <definedName name="RPL">TITL!$AM$1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1" l="1"/>
  <c r="T31" i="11"/>
  <c r="T30" i="11"/>
  <c r="AG145" i="8"/>
  <c r="S145" i="8"/>
  <c r="S144" i="8"/>
  <c r="AG75" i="8"/>
  <c r="S75" i="8"/>
  <c r="S74" i="8"/>
  <c r="AO13" i="8"/>
  <c r="AO12" i="8"/>
  <c r="T53" i="11"/>
  <c r="I56" i="11"/>
  <c r="G46" i="11"/>
  <c r="I62" i="11"/>
  <c r="G37" i="11"/>
  <c r="AL12" i="8"/>
  <c r="AB13" i="8"/>
  <c r="C119" i="2"/>
  <c r="C78" i="2"/>
  <c r="C68" i="2"/>
  <c r="C52" i="2"/>
  <c r="C43" i="2"/>
  <c r="C29" i="2"/>
  <c r="C17" i="2"/>
  <c r="C4" i="2"/>
  <c r="K121" i="2"/>
  <c r="G121" i="2"/>
  <c r="F121" i="2"/>
  <c r="E121" i="2"/>
  <c r="G120" i="2"/>
  <c r="F120" i="2"/>
  <c r="E120" i="2"/>
  <c r="K119" i="2"/>
  <c r="G119" i="2"/>
  <c r="F119" i="2"/>
  <c r="E119" i="2"/>
  <c r="B119" i="2"/>
  <c r="G118" i="2"/>
  <c r="F118" i="2"/>
  <c r="E118" i="2"/>
  <c r="B118" i="2"/>
  <c r="K118" i="2" s="1"/>
  <c r="G117" i="2"/>
  <c r="F117" i="2"/>
  <c r="E117" i="2"/>
  <c r="C117" i="2"/>
  <c r="B117" i="2"/>
  <c r="G116" i="2"/>
  <c r="F116" i="2"/>
  <c r="E116" i="2"/>
  <c r="K116" i="2" s="1"/>
  <c r="K115" i="2"/>
  <c r="G115" i="2"/>
  <c r="F115" i="2"/>
  <c r="E115" i="2"/>
  <c r="G114" i="2"/>
  <c r="F114" i="2"/>
  <c r="E114" i="2"/>
  <c r="K114" i="2" s="1"/>
  <c r="K113" i="2"/>
  <c r="G113" i="2"/>
  <c r="F113" i="2"/>
  <c r="E113" i="2"/>
  <c r="C113" i="2"/>
  <c r="B113" i="2"/>
  <c r="G112" i="2"/>
  <c r="F112" i="2"/>
  <c r="E112" i="2"/>
  <c r="G111" i="2"/>
  <c r="F111" i="2"/>
  <c r="E111" i="2"/>
  <c r="G110" i="2"/>
  <c r="F110" i="2"/>
  <c r="E110" i="2"/>
  <c r="C110" i="2"/>
  <c r="B110" i="2"/>
  <c r="G109" i="2"/>
  <c r="F109" i="2"/>
  <c r="E109" i="2"/>
  <c r="C109" i="2"/>
  <c r="B109" i="2"/>
  <c r="K109" i="2" s="1"/>
  <c r="G108" i="2"/>
  <c r="F108" i="2"/>
  <c r="E108" i="2"/>
  <c r="G107" i="2"/>
  <c r="F107" i="2"/>
  <c r="E107" i="2"/>
  <c r="C107" i="2"/>
  <c r="B107" i="2"/>
  <c r="K107" i="2" s="1"/>
  <c r="G106" i="2"/>
  <c r="F106" i="2"/>
  <c r="E106" i="2"/>
  <c r="G105" i="2"/>
  <c r="F105" i="2"/>
  <c r="E105" i="2"/>
  <c r="G104" i="2"/>
  <c r="F104" i="2"/>
  <c r="E104" i="2"/>
  <c r="C104" i="2"/>
  <c r="B104" i="2"/>
  <c r="K106" i="2" s="1"/>
  <c r="G103" i="2"/>
  <c r="F103" i="2"/>
  <c r="E103" i="2"/>
  <c r="B103" i="2"/>
  <c r="K103" i="2" s="1"/>
  <c r="K102" i="2"/>
  <c r="G102" i="2"/>
  <c r="F102" i="2"/>
  <c r="E102" i="2"/>
  <c r="B102" i="2"/>
  <c r="G101" i="2"/>
  <c r="F101" i="2"/>
  <c r="E101" i="2"/>
  <c r="C101" i="2"/>
  <c r="B101" i="2"/>
  <c r="K101" i="2" s="1"/>
  <c r="G100" i="2"/>
  <c r="F100" i="2"/>
  <c r="E100" i="2"/>
  <c r="G99" i="2"/>
  <c r="F99" i="2"/>
  <c r="E99" i="2"/>
  <c r="G98" i="2"/>
  <c r="F98" i="2"/>
  <c r="E98" i="2"/>
  <c r="C98" i="2"/>
  <c r="B98" i="2"/>
  <c r="K100" i="2" s="1"/>
  <c r="G97" i="2"/>
  <c r="F97" i="2"/>
  <c r="E97" i="2"/>
  <c r="G96" i="2"/>
  <c r="F96" i="2"/>
  <c r="E96" i="2"/>
  <c r="G95" i="2"/>
  <c r="F95" i="2"/>
  <c r="E95" i="2"/>
  <c r="C95" i="2"/>
  <c r="B95" i="2"/>
  <c r="K96" i="2" s="1"/>
  <c r="G94" i="2"/>
  <c r="F94" i="2"/>
  <c r="E94" i="2"/>
  <c r="G93" i="2"/>
  <c r="F93" i="2"/>
  <c r="E93" i="2"/>
  <c r="G92" i="2"/>
  <c r="F92" i="2"/>
  <c r="E92" i="2"/>
  <c r="G91" i="2"/>
  <c r="F91" i="2"/>
  <c r="E91" i="2"/>
  <c r="C91" i="2"/>
  <c r="B91" i="2"/>
  <c r="K93" i="2" s="1"/>
  <c r="G90" i="2"/>
  <c r="F90" i="2"/>
  <c r="E90" i="2"/>
  <c r="G89" i="2"/>
  <c r="F89" i="2"/>
  <c r="E89" i="2"/>
  <c r="C89" i="2"/>
  <c r="B89" i="2"/>
  <c r="K89" i="2" s="1"/>
  <c r="G88" i="2"/>
  <c r="F88" i="2"/>
  <c r="E88" i="2"/>
  <c r="G87" i="2"/>
  <c r="F87" i="2"/>
  <c r="E87" i="2"/>
  <c r="G86" i="2"/>
  <c r="F86" i="2"/>
  <c r="E86" i="2"/>
  <c r="C86" i="2"/>
  <c r="B86" i="2"/>
  <c r="K88" i="2" s="1"/>
  <c r="G85" i="2"/>
  <c r="F85" i="2"/>
  <c r="E85" i="2"/>
  <c r="G84" i="2"/>
  <c r="F84" i="2"/>
  <c r="E84" i="2"/>
  <c r="G83" i="2"/>
  <c r="F83" i="2"/>
  <c r="E83" i="2"/>
  <c r="B83" i="2"/>
  <c r="G82" i="2"/>
  <c r="F82" i="2"/>
  <c r="E82" i="2"/>
  <c r="G81" i="2"/>
  <c r="F81" i="2"/>
  <c r="E81" i="2"/>
  <c r="G80" i="2"/>
  <c r="F80" i="2"/>
  <c r="E80" i="2"/>
  <c r="G79" i="2"/>
  <c r="F79" i="2"/>
  <c r="E79" i="2"/>
  <c r="C79" i="2"/>
  <c r="B79" i="2"/>
  <c r="K81" i="2" s="1"/>
  <c r="G78" i="2"/>
  <c r="F78" i="2"/>
  <c r="E78" i="2"/>
  <c r="B78" i="2"/>
  <c r="K78" i="2" s="1"/>
  <c r="G77" i="2"/>
  <c r="F77" i="2"/>
  <c r="E77" i="2"/>
  <c r="C77" i="2"/>
  <c r="B77" i="2"/>
  <c r="K77" i="2" s="1"/>
  <c r="G76" i="2"/>
  <c r="F76" i="2"/>
  <c r="E76" i="2"/>
  <c r="C76" i="2"/>
  <c r="B76" i="2"/>
  <c r="G75" i="2"/>
  <c r="F75" i="2"/>
  <c r="E75" i="2"/>
  <c r="K75" i="2" s="1"/>
  <c r="K74" i="2"/>
  <c r="G74" i="2"/>
  <c r="F74" i="2"/>
  <c r="E74" i="2"/>
  <c r="C74" i="2"/>
  <c r="B74" i="2"/>
  <c r="G73" i="2"/>
  <c r="F73" i="2"/>
  <c r="E73" i="2"/>
  <c r="K72" i="2"/>
  <c r="G72" i="2"/>
  <c r="F72" i="2"/>
  <c r="E72" i="2"/>
  <c r="C72" i="2"/>
  <c r="B72" i="2"/>
  <c r="K71" i="2"/>
  <c r="G71" i="2"/>
  <c r="F71" i="2"/>
  <c r="E71" i="2"/>
  <c r="B71" i="2"/>
  <c r="G70" i="2"/>
  <c r="F70" i="2"/>
  <c r="E70" i="2"/>
  <c r="C70" i="2"/>
  <c r="B70" i="2"/>
  <c r="K70" i="2" s="1"/>
  <c r="G69" i="2"/>
  <c r="F69" i="2"/>
  <c r="E69" i="2"/>
  <c r="G68" i="2"/>
  <c r="F68" i="2"/>
  <c r="E68" i="2"/>
  <c r="B68" i="2"/>
  <c r="K68" i="2" s="1"/>
  <c r="G67" i="2"/>
  <c r="F67" i="2"/>
  <c r="E67" i="2"/>
  <c r="G66" i="2"/>
  <c r="F66" i="2"/>
  <c r="E66" i="2"/>
  <c r="B66" i="2"/>
  <c r="K67" i="2" s="1"/>
  <c r="G65" i="2"/>
  <c r="F65" i="2"/>
  <c r="E65" i="2"/>
  <c r="G64" i="2"/>
  <c r="F64" i="2"/>
  <c r="E64" i="2"/>
  <c r="C64" i="2"/>
  <c r="B64" i="2"/>
  <c r="K64" i="2" s="1"/>
  <c r="K63" i="2"/>
  <c r="G63" i="2"/>
  <c r="F63" i="2"/>
  <c r="E63" i="2"/>
  <c r="G62" i="2"/>
  <c r="F62" i="2"/>
  <c r="E62" i="2"/>
  <c r="K61" i="2"/>
  <c r="G61" i="2"/>
  <c r="F61" i="2"/>
  <c r="E61" i="2"/>
  <c r="C61" i="2"/>
  <c r="B61" i="2"/>
  <c r="G60" i="2"/>
  <c r="F60" i="2"/>
  <c r="E60" i="2"/>
  <c r="K60" i="2" s="1"/>
  <c r="C60" i="2"/>
  <c r="B60" i="2"/>
  <c r="G59" i="2"/>
  <c r="F59" i="2"/>
  <c r="E59" i="2"/>
  <c r="C59" i="2"/>
  <c r="B59" i="2"/>
  <c r="K59" i="2" s="1"/>
  <c r="G58" i="2"/>
  <c r="F58" i="2"/>
  <c r="E58" i="2"/>
  <c r="C58" i="2"/>
  <c r="B58" i="2"/>
  <c r="K58" i="2" s="1"/>
  <c r="G57" i="2"/>
  <c r="F57" i="2"/>
  <c r="E57" i="2"/>
  <c r="K57" i="2" s="1"/>
  <c r="G56" i="2"/>
  <c r="F56" i="2"/>
  <c r="E56" i="2"/>
  <c r="C56" i="2"/>
  <c r="B56" i="2"/>
  <c r="K56" i="2" s="1"/>
  <c r="G55" i="2"/>
  <c r="F55" i="2"/>
  <c r="E55" i="2"/>
  <c r="G54" i="2"/>
  <c r="F54" i="2"/>
  <c r="E54" i="2"/>
  <c r="G53" i="2"/>
  <c r="F53" i="2"/>
  <c r="E53" i="2"/>
  <c r="C53" i="2"/>
  <c r="B53" i="2"/>
  <c r="K55" i="2" s="1"/>
  <c r="G52" i="2"/>
  <c r="F52" i="2"/>
  <c r="E52" i="2"/>
  <c r="B52" i="2"/>
  <c r="K52" i="2" s="1"/>
  <c r="F51" i="2"/>
  <c r="E51" i="2"/>
  <c r="G50" i="2"/>
  <c r="F50" i="2"/>
  <c r="E50" i="2"/>
  <c r="C50" i="2"/>
  <c r="B50" i="2"/>
  <c r="G49" i="2"/>
  <c r="F49" i="2"/>
  <c r="E49" i="2"/>
  <c r="K49" i="2" s="1"/>
  <c r="C49" i="2"/>
  <c r="B49" i="2"/>
  <c r="G48" i="2"/>
  <c r="F48" i="2"/>
  <c r="E48" i="2"/>
  <c r="C48" i="2"/>
  <c r="B48" i="2"/>
  <c r="G47" i="2"/>
  <c r="F47" i="2"/>
  <c r="E47" i="2"/>
  <c r="G46" i="2"/>
  <c r="F46" i="2"/>
  <c r="E46" i="2"/>
  <c r="G45" i="2"/>
  <c r="F45" i="2"/>
  <c r="E45" i="2"/>
  <c r="C45" i="2"/>
  <c r="B45" i="2"/>
  <c r="K47" i="2" s="1"/>
  <c r="G44" i="2"/>
  <c r="F44" i="2"/>
  <c r="E44" i="2"/>
  <c r="C44" i="2"/>
  <c r="B44" i="2"/>
  <c r="K44" i="2" s="1"/>
  <c r="K43" i="2"/>
  <c r="G43" i="2"/>
  <c r="F43" i="2"/>
  <c r="E43" i="2"/>
  <c r="B43" i="2"/>
  <c r="G42" i="2"/>
  <c r="F42" i="2"/>
  <c r="E42" i="2"/>
  <c r="K42" i="2" s="1"/>
  <c r="B42" i="2"/>
  <c r="G41" i="2"/>
  <c r="F41" i="2"/>
  <c r="E41" i="2"/>
  <c r="G40" i="2"/>
  <c r="F40" i="2"/>
  <c r="E40" i="2"/>
  <c r="B40" i="2"/>
  <c r="K41" i="2" s="1"/>
  <c r="G39" i="2"/>
  <c r="F39" i="2"/>
  <c r="E39" i="2"/>
  <c r="G38" i="2"/>
  <c r="F38" i="2"/>
  <c r="E38" i="2"/>
  <c r="C38" i="2"/>
  <c r="B38" i="2"/>
  <c r="G37" i="2"/>
  <c r="F37" i="2"/>
  <c r="E37" i="2"/>
  <c r="G36" i="2"/>
  <c r="F36" i="2"/>
  <c r="E36" i="2"/>
  <c r="C36" i="2"/>
  <c r="B36" i="2"/>
  <c r="F35" i="2"/>
  <c r="E35" i="2"/>
  <c r="G34" i="2"/>
  <c r="F34" i="2"/>
  <c r="E34" i="2"/>
  <c r="C34" i="2"/>
  <c r="B34" i="2"/>
  <c r="K34" i="2" s="1"/>
  <c r="F33" i="2"/>
  <c r="E33" i="2"/>
  <c r="G32" i="2"/>
  <c r="F32" i="2"/>
  <c r="E32" i="2"/>
  <c r="C32" i="2"/>
  <c r="B32" i="2"/>
  <c r="K33" i="2" s="1"/>
  <c r="G31" i="2"/>
  <c r="F31" i="2"/>
  <c r="E31" i="2"/>
  <c r="C31" i="2"/>
  <c r="B31" i="2"/>
  <c r="G30" i="2"/>
  <c r="F30" i="2"/>
  <c r="E30" i="2"/>
  <c r="B30" i="2"/>
  <c r="K30" i="2" s="1"/>
  <c r="K29" i="2"/>
  <c r="G29" i="2"/>
  <c r="F29" i="2"/>
  <c r="E29" i="2"/>
  <c r="B29" i="2"/>
  <c r="G28" i="2"/>
  <c r="F28" i="2"/>
  <c r="E28" i="2"/>
  <c r="G27" i="2"/>
  <c r="F27" i="2"/>
  <c r="E27" i="2"/>
  <c r="G26" i="2"/>
  <c r="F26" i="2"/>
  <c r="E26" i="2"/>
  <c r="B26" i="2"/>
  <c r="K27" i="2" s="1"/>
  <c r="G25" i="2"/>
  <c r="F25" i="2"/>
  <c r="E25" i="2"/>
  <c r="G24" i="2"/>
  <c r="F24" i="2"/>
  <c r="E24" i="2"/>
  <c r="C24" i="2"/>
  <c r="B24" i="2"/>
  <c r="K25" i="2" s="1"/>
  <c r="G23" i="2"/>
  <c r="F23" i="2"/>
  <c r="E23" i="2"/>
  <c r="C23" i="2"/>
  <c r="B23" i="2"/>
  <c r="G22" i="2"/>
  <c r="F22" i="2"/>
  <c r="E22" i="2"/>
  <c r="C22" i="2"/>
  <c r="B22" i="2"/>
  <c r="G21" i="2"/>
  <c r="F21" i="2"/>
  <c r="E21" i="2"/>
  <c r="C21" i="2"/>
  <c r="B21" i="2"/>
  <c r="K21" i="2" s="1"/>
  <c r="F20" i="2"/>
  <c r="E20" i="2"/>
  <c r="G19" i="2"/>
  <c r="F19" i="2"/>
  <c r="E19" i="2"/>
  <c r="C19" i="2"/>
  <c r="B19" i="2"/>
  <c r="K19" i="2" s="1"/>
  <c r="K18" i="2"/>
  <c r="G18" i="2"/>
  <c r="F18" i="2"/>
  <c r="E18" i="2"/>
  <c r="B18" i="2"/>
  <c r="G17" i="2"/>
  <c r="F17" i="2"/>
  <c r="E17" i="2"/>
  <c r="B17" i="2"/>
  <c r="K17" i="2" s="1"/>
  <c r="F16" i="2"/>
  <c r="E16" i="2"/>
  <c r="G15" i="2"/>
  <c r="F15" i="2"/>
  <c r="E15" i="2"/>
  <c r="B15" i="2"/>
  <c r="K16" i="2" s="1"/>
  <c r="G14" i="2"/>
  <c r="F14" i="2"/>
  <c r="E14" i="2"/>
  <c r="K14" i="2" s="1"/>
  <c r="F13" i="2"/>
  <c r="E13" i="2"/>
  <c r="G12" i="2"/>
  <c r="F12" i="2"/>
  <c r="E12" i="2"/>
  <c r="C12" i="2"/>
  <c r="B12" i="2"/>
  <c r="G11" i="2"/>
  <c r="F11" i="2"/>
  <c r="E11" i="2"/>
  <c r="C11" i="2"/>
  <c r="B11" i="2"/>
  <c r="K11" i="2" s="1"/>
  <c r="K10" i="2"/>
  <c r="G10" i="2"/>
  <c r="F10" i="2"/>
  <c r="E10" i="2"/>
  <c r="C10" i="2"/>
  <c r="B10" i="2"/>
  <c r="G9" i="2"/>
  <c r="F9" i="2"/>
  <c r="E9" i="2"/>
  <c r="G8" i="2"/>
  <c r="F8" i="2"/>
  <c r="E8" i="2"/>
  <c r="C8" i="2"/>
  <c r="B8" i="2"/>
  <c r="K8" i="2" s="1"/>
  <c r="G7" i="2"/>
  <c r="F7" i="2"/>
  <c r="E7" i="2"/>
  <c r="G6" i="2"/>
  <c r="F6" i="2"/>
  <c r="E6" i="2"/>
  <c r="C6" i="2"/>
  <c r="B6" i="2"/>
  <c r="K6" i="2" s="1"/>
  <c r="G5" i="2"/>
  <c r="F5" i="2"/>
  <c r="E5" i="2"/>
  <c r="K5" i="2" s="1"/>
  <c r="G4" i="2"/>
  <c r="F4" i="2"/>
  <c r="E4" i="2"/>
  <c r="B4" i="2"/>
  <c r="K4" i="2" s="1"/>
  <c r="G3" i="2"/>
  <c r="F3" i="2"/>
  <c r="E3" i="2"/>
  <c r="C3" i="2"/>
  <c r="B3" i="2"/>
  <c r="K32" i="2" l="1"/>
  <c r="K40" i="2"/>
  <c r="K51" i="2"/>
  <c r="K62" i="2"/>
  <c r="K15" i="2"/>
  <c r="K23" i="2"/>
  <c r="K24" i="2"/>
  <c r="K31" i="2"/>
  <c r="K66" i="2"/>
  <c r="K76" i="2"/>
  <c r="K97" i="2"/>
  <c r="K117" i="2"/>
  <c r="K48" i="2"/>
  <c r="K73" i="2"/>
  <c r="K84" i="2"/>
  <c r="K3" i="2"/>
  <c r="K22" i="2"/>
  <c r="K69" i="2"/>
  <c r="K85" i="2"/>
  <c r="K95" i="2"/>
  <c r="K26" i="2"/>
  <c r="K7" i="2"/>
  <c r="K108" i="2"/>
  <c r="K12" i="2"/>
  <c r="K83" i="2"/>
  <c r="K120" i="2"/>
  <c r="K90" i="2"/>
  <c r="K36" i="2"/>
  <c r="K38" i="2"/>
  <c r="K28" i="2"/>
  <c r="K112" i="2"/>
  <c r="K111" i="2"/>
  <c r="I51" i="11"/>
  <c r="I53" i="11"/>
  <c r="I35" i="11"/>
  <c r="I40" i="11"/>
  <c r="Q45" i="11"/>
  <c r="H13" i="11" s="1"/>
  <c r="Q48" i="11"/>
  <c r="D6" i="11" s="1"/>
  <c r="Q57" i="11"/>
  <c r="B12" i="11" s="1"/>
  <c r="I46" i="11"/>
  <c r="I52" i="11"/>
  <c r="Q50" i="11"/>
  <c r="X13" i="11" s="1"/>
  <c r="Q52" i="11"/>
  <c r="I37" i="11"/>
  <c r="Q32" i="11"/>
  <c r="AF9" i="11" s="1"/>
  <c r="Q37" i="11"/>
  <c r="Q39" i="11"/>
  <c r="Q41" i="11"/>
  <c r="Q33" i="11"/>
  <c r="AF6" i="11" s="1"/>
  <c r="I61" i="11"/>
  <c r="Q54" i="11"/>
  <c r="I34" i="11"/>
  <c r="Q31" i="11"/>
  <c r="Q59" i="11"/>
  <c r="AD12" i="8"/>
  <c r="AD13" i="8"/>
  <c r="I36" i="11"/>
  <c r="Q38" i="11"/>
  <c r="Q35" i="11"/>
  <c r="K80" i="2"/>
  <c r="K87" i="2"/>
  <c r="K99" i="2"/>
  <c r="G41" i="11"/>
  <c r="C30" i="2"/>
  <c r="K39" i="2"/>
  <c r="K13" i="2"/>
  <c r="C26" i="2"/>
  <c r="K35" i="2"/>
  <c r="C42" i="2"/>
  <c r="K50" i="2"/>
  <c r="T51" i="11"/>
  <c r="T58" i="11"/>
  <c r="G62" i="11"/>
  <c r="G43" i="11"/>
  <c r="T56" i="11"/>
  <c r="I44" i="11"/>
  <c r="G30" i="11"/>
  <c r="T61" i="11"/>
  <c r="G40" i="11"/>
  <c r="T44" i="11"/>
  <c r="G36" i="11"/>
  <c r="T37" i="11"/>
  <c r="I43" i="11"/>
  <c r="G53" i="11"/>
  <c r="G60" i="11"/>
  <c r="T38" i="11"/>
  <c r="G31" i="11"/>
  <c r="I30" i="11"/>
  <c r="G34" i="11"/>
  <c r="G33" i="11"/>
  <c r="G49" i="11"/>
  <c r="Q56" i="11"/>
  <c r="T57" i="11"/>
  <c r="K82" i="2"/>
  <c r="Q44" i="11"/>
  <c r="T62" i="11"/>
  <c r="T43" i="11"/>
  <c r="G48" i="11"/>
  <c r="I49" i="11"/>
  <c r="T47" i="11"/>
  <c r="G52" i="11"/>
  <c r="T32" i="11"/>
  <c r="T33" i="11"/>
  <c r="G58" i="11"/>
  <c r="I54" i="11"/>
  <c r="T55" i="11"/>
  <c r="G45" i="11"/>
  <c r="T59" i="11"/>
  <c r="T60" i="11"/>
  <c r="K20" i="2"/>
  <c r="K46" i="2"/>
  <c r="I31" i="11"/>
  <c r="I50" i="11"/>
  <c r="T42" i="11"/>
  <c r="C66" i="2"/>
  <c r="C83" i="2"/>
  <c r="C103" i="2"/>
  <c r="K110" i="2"/>
  <c r="T40" i="11"/>
  <c r="I58" i="11"/>
  <c r="T36" i="11"/>
  <c r="I45" i="11"/>
  <c r="T49" i="11"/>
  <c r="Q47" i="11"/>
  <c r="AL10" i="11" s="1"/>
  <c r="G56" i="11"/>
  <c r="K37" i="2"/>
  <c r="K9" i="2"/>
  <c r="K65" i="2"/>
  <c r="K92" i="2"/>
  <c r="K94" i="2"/>
  <c r="I38" i="11"/>
  <c r="G50" i="11"/>
  <c r="G51" i="11"/>
  <c r="C18" i="2"/>
  <c r="C15" i="2"/>
  <c r="C40" i="2"/>
  <c r="K45" i="2"/>
  <c r="G61" i="11"/>
  <c r="T50" i="11"/>
  <c r="T34" i="11"/>
  <c r="K54" i="2"/>
  <c r="K105" i="2"/>
  <c r="Q61" i="11"/>
  <c r="K53" i="2"/>
  <c r="C71" i="2"/>
  <c r="K79" i="2"/>
  <c r="K86" i="2"/>
  <c r="K91" i="2"/>
  <c r="K98" i="2"/>
  <c r="C102" i="2"/>
  <c r="K104" i="2"/>
  <c r="C118" i="2"/>
  <c r="I32" i="11"/>
  <c r="I33" i="11"/>
  <c r="I55" i="11"/>
  <c r="I57" i="11"/>
  <c r="G35" i="11"/>
  <c r="G44" i="11"/>
  <c r="T54" i="11"/>
  <c r="AB12" i="8"/>
  <c r="T52" i="11"/>
  <c r="I59" i="11"/>
  <c r="G57" i="11"/>
  <c r="T45" i="11"/>
  <c r="T46" i="11"/>
  <c r="T41" i="11"/>
  <c r="G38" i="11"/>
  <c r="T35" i="11"/>
  <c r="T48" i="11"/>
  <c r="G32" i="11"/>
  <c r="G55" i="11"/>
  <c r="T39" i="11"/>
  <c r="G59" i="11"/>
  <c r="Q62" i="11" l="1"/>
  <c r="I41" i="11"/>
  <c r="Q42" i="11"/>
  <c r="U12" i="11" s="1"/>
  <c r="B7" i="11"/>
  <c r="M13" i="11"/>
  <c r="AJ6" i="11"/>
  <c r="G8" i="11"/>
  <c r="F8" i="11"/>
  <c r="B9" i="11"/>
  <c r="E8" i="11"/>
  <c r="B6" i="11"/>
  <c r="AI12" i="11"/>
  <c r="AJ12" i="11" s="1"/>
  <c r="C6" i="11"/>
  <c r="Y12" i="11"/>
  <c r="J11" i="11"/>
  <c r="Y6" i="11"/>
  <c r="Z6" i="11" s="1"/>
  <c r="H9" i="11"/>
  <c r="I9" i="11" s="1"/>
  <c r="AJ13" i="11"/>
  <c r="AK13" i="11" s="1"/>
  <c r="W6" i="11"/>
  <c r="G12" i="11"/>
  <c r="F12" i="11"/>
  <c r="C12" i="11"/>
  <c r="D12" i="11"/>
  <c r="I12" i="11"/>
  <c r="H12" i="11"/>
  <c r="E12" i="11"/>
  <c r="Q55" i="11"/>
  <c r="Q30" i="11"/>
  <c r="AT7" i="11"/>
  <c r="AS7" i="11"/>
  <c r="AI6" i="11"/>
  <c r="AQ7" i="11"/>
  <c r="AH6" i="11"/>
  <c r="AG6" i="11"/>
  <c r="AR7" i="11"/>
  <c r="AN13" i="11"/>
  <c r="AM13" i="11"/>
  <c r="AI9" i="11"/>
  <c r="AL13" i="11"/>
  <c r="AH9" i="11"/>
  <c r="AO13" i="11"/>
  <c r="AG9" i="11"/>
  <c r="I6" i="11"/>
  <c r="E6" i="11"/>
  <c r="F6" i="11"/>
  <c r="H6" i="11"/>
  <c r="G6" i="11"/>
  <c r="Q49" i="11"/>
  <c r="J7" i="11" s="1"/>
  <c r="Q60" i="11"/>
  <c r="I48" i="11"/>
  <c r="I60" i="11"/>
  <c r="K13" i="11"/>
  <c r="P9" i="11"/>
  <c r="J13" i="11"/>
  <c r="O9" i="11"/>
  <c r="I13" i="11"/>
  <c r="N9" i="11"/>
  <c r="M9" i="11"/>
  <c r="Q34" i="11"/>
  <c r="Q58" i="11"/>
  <c r="Q43" i="11"/>
  <c r="E9" i="11"/>
  <c r="AO10" i="11"/>
  <c r="AN10" i="11"/>
  <c r="AS10" i="11"/>
  <c r="AR10" i="11"/>
  <c r="AQ10" i="11"/>
  <c r="AT10" i="11"/>
  <c r="AM10" i="11"/>
  <c r="Q40" i="11"/>
  <c r="Q51" i="11"/>
  <c r="K10" i="11" s="1"/>
  <c r="J6" i="11"/>
  <c r="H7" i="11"/>
  <c r="Y10" i="11"/>
  <c r="Q46" i="11"/>
  <c r="AF10" i="11" s="1"/>
  <c r="Q53" i="11"/>
  <c r="W11" i="11" s="1"/>
  <c r="Q36" i="11"/>
  <c r="AB6" i="11" l="1"/>
  <c r="W9" i="11"/>
  <c r="AF13" i="11"/>
  <c r="N17" i="11"/>
  <c r="Z8" i="11"/>
  <c r="K7" i="11"/>
  <c r="M17" i="11"/>
  <c r="Y8" i="11"/>
  <c r="AE8" i="11"/>
  <c r="AD8" i="11"/>
  <c r="J17" i="11"/>
  <c r="AB8" i="11"/>
  <c r="P7" i="11"/>
  <c r="O7" i="11"/>
  <c r="N7" i="11"/>
  <c r="M7" i="11"/>
  <c r="P17" i="11"/>
  <c r="O17" i="11"/>
  <c r="K17" i="11"/>
  <c r="AC8" i="11"/>
  <c r="F13" i="11"/>
  <c r="R12" i="11"/>
  <c r="B10" i="11"/>
  <c r="J8" i="11"/>
  <c r="U7" i="11"/>
  <c r="M10" i="11"/>
  <c r="K8" i="11"/>
  <c r="P13" i="11"/>
  <c r="T11" i="11"/>
  <c r="O13" i="11"/>
  <c r="S11" i="11"/>
  <c r="N10" i="11"/>
  <c r="V7" i="11"/>
  <c r="AG10" i="11"/>
  <c r="AH10" i="11"/>
  <c r="AI10" i="11"/>
  <c r="AJ10" i="11"/>
  <c r="AK10" i="11"/>
  <c r="AE10" i="11"/>
  <c r="AD10" i="11"/>
  <c r="AC10" i="11"/>
  <c r="AB10" i="11"/>
  <c r="Z10" i="11"/>
  <c r="Z12" i="11"/>
  <c r="AB12" i="11"/>
  <c r="AE12" i="11"/>
  <c r="AD12" i="11"/>
  <c r="AC12" i="11"/>
  <c r="AF7" i="11"/>
  <c r="AL6" i="11"/>
  <c r="AK6" i="11"/>
  <c r="AH7" i="11"/>
  <c r="AG7" i="11"/>
  <c r="X12" i="11"/>
  <c r="W12" i="11"/>
  <c r="V12" i="11"/>
  <c r="C13" i="11"/>
  <c r="G9" i="11"/>
  <c r="B13" i="11"/>
  <c r="F9" i="11"/>
  <c r="S7" i="11"/>
  <c r="J10" i="11"/>
  <c r="I10" i="11"/>
  <c r="R7" i="11"/>
  <c r="H10" i="11"/>
  <c r="M8" i="11" s="1"/>
  <c r="Q7" i="11"/>
  <c r="V6" i="11"/>
  <c r="U6" i="11"/>
  <c r="D13" i="11"/>
  <c r="T6" i="11"/>
  <c r="P6" i="11"/>
  <c r="O6" i="11"/>
  <c r="N6" i="11"/>
  <c r="M6" i="11"/>
  <c r="K6" i="11"/>
  <c r="S6" i="11"/>
  <c r="P8" i="11"/>
  <c r="J12" i="11"/>
  <c r="D11" i="11"/>
  <c r="AO8" i="11"/>
  <c r="AN8" i="11"/>
  <c r="AM8" i="11"/>
  <c r="AL8" i="11"/>
  <c r="D9" i="11"/>
  <c r="C9" i="11"/>
  <c r="AI11" i="11"/>
  <c r="U13" i="11"/>
  <c r="E10" i="11"/>
  <c r="D8" i="11"/>
  <c r="C8" i="11"/>
  <c r="B8" i="11"/>
  <c r="AQ6" i="11"/>
  <c r="AS6" i="11"/>
  <c r="AR6" i="11"/>
  <c r="AT6" i="11"/>
  <c r="Z11" i="11"/>
  <c r="Y11" i="11"/>
  <c r="AB11" i="11"/>
  <c r="X11" i="11"/>
  <c r="AC11" i="11"/>
  <c r="AE11" i="11"/>
  <c r="AD11" i="11"/>
  <c r="AF8" i="11"/>
  <c r="Q11" i="11"/>
  <c r="R8" i="11"/>
  <c r="Q8" i="11"/>
  <c r="X6" i="11"/>
  <c r="P10" i="11"/>
  <c r="O10" i="11"/>
  <c r="N13" i="11"/>
  <c r="G7" i="11"/>
  <c r="F7" i="11"/>
  <c r="I7" i="11"/>
  <c r="E7" i="11"/>
  <c r="D7" i="11"/>
  <c r="AC7" i="11"/>
  <c r="AB7" i="11"/>
  <c r="AE7" i="11"/>
  <c r="AD7" i="11"/>
  <c r="Z7" i="11"/>
  <c r="Y7" i="11"/>
  <c r="X7" i="11"/>
  <c r="W7" i="11"/>
  <c r="P11" i="11"/>
  <c r="O11" i="11"/>
  <c r="M11" i="11"/>
  <c r="K11" i="11"/>
  <c r="N11" i="11"/>
  <c r="I8" i="11"/>
  <c r="C7" i="11"/>
  <c r="H8" i="11"/>
  <c r="J9" i="11"/>
  <c r="K9" i="11"/>
  <c r="R6" i="11" l="1"/>
  <c r="Q6" i="11"/>
  <c r="U9" i="11"/>
  <c r="T9" i="11"/>
  <c r="AI8" i="11"/>
  <c r="AH8" i="11"/>
  <c r="AO7" i="11"/>
  <c r="AN7" i="11"/>
  <c r="AK8" i="11"/>
  <c r="AJ8" i="11"/>
  <c r="AM7" i="11"/>
  <c r="AL7" i="11"/>
  <c r="S9" i="11"/>
  <c r="R9" i="11"/>
  <c r="Q9" i="11"/>
  <c r="T12" i="11"/>
  <c r="S12" i="11"/>
  <c r="G13" i="11"/>
  <c r="E13" i="11"/>
  <c r="G11" i="11"/>
  <c r="F11" i="11"/>
  <c r="I11" i="11"/>
  <c r="H11" i="11"/>
  <c r="E11" i="11"/>
  <c r="AK7" i="11"/>
  <c r="AJ7" i="11"/>
  <c r="AI7" i="11"/>
  <c r="O8" i="11"/>
  <c r="N8" i="11"/>
  <c r="D10" i="11"/>
  <c r="C10" i="11"/>
  <c r="X10" i="11"/>
  <c r="W10" i="11"/>
  <c r="T13" i="11"/>
  <c r="S13" i="11"/>
  <c r="R11" i="11"/>
  <c r="G10" i="11"/>
  <c r="F10" i="11"/>
  <c r="P12" i="11"/>
  <c r="O12" i="11"/>
  <c r="M12" i="11"/>
  <c r="K12" i="11"/>
  <c r="N12" i="11"/>
  <c r="AI13" i="11"/>
  <c r="AH13" i="11"/>
  <c r="AG13" i="11"/>
  <c r="U8" i="11"/>
  <c r="T8" i="11"/>
  <c r="S8" i="11"/>
  <c r="X8" i="11"/>
  <c r="W8" i="11"/>
  <c r="V8" i="11"/>
  <c r="AK9" i="11"/>
  <c r="AJ9" i="11"/>
  <c r="AG8" i="11"/>
  <c r="V13" i="11"/>
  <c r="W13" i="11"/>
  <c r="X9" i="11"/>
  <c r="AQ8" i="11"/>
  <c r="U10" i="11"/>
  <c r="T10" i="11"/>
  <c r="S10" i="11"/>
  <c r="V10" i="11"/>
  <c r="Y9" i="11"/>
  <c r="Z9" i="11"/>
  <c r="AF12" i="11"/>
  <c r="AK11" i="11"/>
  <c r="AH12" i="11" s="1"/>
  <c r="AJ11" i="11"/>
  <c r="AG12" i="11" s="1"/>
  <c r="T7" i="11"/>
  <c r="Q12" i="11" s="1"/>
  <c r="V9" i="11"/>
  <c r="AH11" i="11"/>
  <c r="AG11" i="11"/>
  <c r="AF11" i="11"/>
  <c r="R10" i="11"/>
  <c r="Q10" i="11"/>
  <c r="AC6" i="11"/>
  <c r="AE6" i="11"/>
  <c r="AD6" i="11"/>
  <c r="AL9" i="11"/>
  <c r="AM9" i="11"/>
  <c r="AM12" i="11" l="1"/>
  <c r="AO12" i="11"/>
  <c r="AN12" i="11"/>
  <c r="AR8" i="11"/>
  <c r="AS8" i="11"/>
  <c r="AT8" i="11"/>
</calcChain>
</file>

<file path=xl/sharedStrings.xml><?xml version="1.0" encoding="utf-8"?>
<sst xmlns="http://schemas.openxmlformats.org/spreadsheetml/2006/main" count="2863" uniqueCount="526">
  <si>
    <t>NO</t>
  </si>
  <si>
    <t>KODE GURU</t>
  </si>
  <si>
    <t>KGMA GURU</t>
  </si>
  <si>
    <t>MAPEL KOMPENTENSI YANG DIAMPU</t>
  </si>
  <si>
    <t>STATUS</t>
  </si>
  <si>
    <t>KODE MAPEL</t>
  </si>
  <si>
    <t>MATA PELAJARAN</t>
  </si>
  <si>
    <t>NORMATIF ADAPTIF</t>
  </si>
  <si>
    <t>PAI X ANM, X PMS, X AKT 1,2</t>
  </si>
  <si>
    <t>PPAI X ALL</t>
  </si>
  <si>
    <t>BK X PMS</t>
  </si>
  <si>
    <t>PPAI XI AKT 1,2</t>
  </si>
  <si>
    <t>PJOK X PPLG 1,2</t>
  </si>
  <si>
    <t>PRODUKTIF</t>
  </si>
  <si>
    <t>PEMETAAN MAPEL DAN KELAS</t>
  </si>
  <si>
    <t>KODE JADWAL</t>
  </si>
  <si>
    <t>KODE</t>
  </si>
  <si>
    <t>1-MTK</t>
  </si>
  <si>
    <t>37-PBO</t>
  </si>
  <si>
    <t>38-PKK</t>
  </si>
  <si>
    <t>38-DB</t>
  </si>
  <si>
    <t>39-IF</t>
  </si>
  <si>
    <t>39-FTO</t>
  </si>
  <si>
    <t>40-DB</t>
  </si>
  <si>
    <t>40-PKK</t>
  </si>
  <si>
    <t>41-PPP</t>
  </si>
  <si>
    <t>41-PKK</t>
  </si>
  <si>
    <t>42-PWPB</t>
  </si>
  <si>
    <t>43-PWPB</t>
  </si>
  <si>
    <t>44-DDK</t>
  </si>
  <si>
    <t>44-DB</t>
  </si>
  <si>
    <t>45-PBO</t>
  </si>
  <si>
    <t>45-PPL</t>
  </si>
  <si>
    <t>46-PBO</t>
  </si>
  <si>
    <t>47-PWPB</t>
  </si>
  <si>
    <t>48-PKK</t>
  </si>
  <si>
    <t>49-VDO</t>
  </si>
  <si>
    <t>49-PKK</t>
  </si>
  <si>
    <t>49-PRD</t>
  </si>
  <si>
    <t>49-2D</t>
  </si>
  <si>
    <t>50-3D</t>
  </si>
  <si>
    <t>50-KGR</t>
  </si>
  <si>
    <t>50-PKK</t>
  </si>
  <si>
    <t>51-2D</t>
  </si>
  <si>
    <t>51-PPP</t>
  </si>
  <si>
    <t>51-DDK</t>
  </si>
  <si>
    <t>52-PKK</t>
  </si>
  <si>
    <t>52-3D</t>
  </si>
  <si>
    <t>53-VDO</t>
  </si>
  <si>
    <t>53-PKK</t>
  </si>
  <si>
    <t>53-PRD</t>
  </si>
  <si>
    <t>54-DPB</t>
  </si>
  <si>
    <t>54-FTO</t>
  </si>
  <si>
    <t>54-KGR</t>
  </si>
  <si>
    <t>55-DPB</t>
  </si>
  <si>
    <t>55-PKK</t>
  </si>
  <si>
    <t>55-DDK</t>
  </si>
  <si>
    <t>56-PKK</t>
  </si>
  <si>
    <t>57-AKU</t>
  </si>
  <si>
    <t>58-PAL</t>
  </si>
  <si>
    <t>59-ADP</t>
  </si>
  <si>
    <t>59-KMA</t>
  </si>
  <si>
    <t>59-DDK</t>
  </si>
  <si>
    <t>60-PPP</t>
  </si>
  <si>
    <t>60-PAP</t>
  </si>
  <si>
    <t>61-AKU</t>
  </si>
  <si>
    <t>62-PPP</t>
  </si>
  <si>
    <t>62-PKK</t>
  </si>
  <si>
    <t>62-DSP</t>
  </si>
  <si>
    <t>63-KMA</t>
  </si>
  <si>
    <t>63-ADP</t>
  </si>
  <si>
    <t>63-BSD</t>
  </si>
  <si>
    <t>63-DDK</t>
  </si>
  <si>
    <t>64-PAP</t>
  </si>
  <si>
    <t>65-PAL</t>
  </si>
  <si>
    <t>66-ADT</t>
  </si>
  <si>
    <t>66-RTL</t>
  </si>
  <si>
    <t>66-PPP</t>
  </si>
  <si>
    <t>X DKV</t>
  </si>
  <si>
    <t>X ANM</t>
  </si>
  <si>
    <t>X PMS</t>
  </si>
  <si>
    <t>JULI RAHMAWANTO, M.Pd.</t>
  </si>
  <si>
    <t>MATEMATIKA XII</t>
  </si>
  <si>
    <t>SUPRIATNA,M.Pd.</t>
  </si>
  <si>
    <t>PRAYOGA EKA CHANDRA, S.T.</t>
  </si>
  <si>
    <t>HANDI RADIMAN, S.Tr.Sn.</t>
  </si>
  <si>
    <t>SUHENDAR, S.Pd.I., M.Pd.</t>
  </si>
  <si>
    <t>DENI DANIS SUARA, S.T., M.Kom.</t>
  </si>
  <si>
    <t>Dr. ASEP TOTOH, SE.,M.M.</t>
  </si>
  <si>
    <t>HURIP PERMANA, S.T.</t>
  </si>
  <si>
    <t>ANTON MULYANA, S.Sos.</t>
  </si>
  <si>
    <t>SONY SYAUPALA, S.T.</t>
  </si>
  <si>
    <t>FRIAN PRIANAS, S.T.</t>
  </si>
  <si>
    <t>DINI SUSANTI, S.Pd.</t>
  </si>
  <si>
    <t>DEDI JUNAEDI, S.Ag.</t>
  </si>
  <si>
    <t>DENI IRAWAN S.Pd.I</t>
  </si>
  <si>
    <t>MOCHAMMAD JUHAERI, S.Pd</t>
  </si>
  <si>
    <t>AJI SUKMA KUSUMAH, S.T.</t>
  </si>
  <si>
    <t>FATHONI HIDAYAH, S.Sn.</t>
  </si>
  <si>
    <t>RADEA SUMBADA, S.Pd.</t>
  </si>
  <si>
    <t>SAEPUDIN, S.Kom</t>
  </si>
  <si>
    <t>RIO ANDRIANTO. S.Kom.</t>
  </si>
  <si>
    <t>ASEP RAMDANI, S.Kom</t>
  </si>
  <si>
    <t>ILHAM ZHAFIR FADILLAH, S.Kom.</t>
  </si>
  <si>
    <t>FAZRIN TAUVAN HIDAYATULOH, S.Psi., M.Pd.</t>
  </si>
  <si>
    <t>SALMA FAUZIYYAH, S.Psi.</t>
  </si>
  <si>
    <t>RIDWAN SETIAWAN, S.Kom.I., M.Kom.I</t>
  </si>
  <si>
    <t>ABDUL MANAP, S.S.</t>
  </si>
  <si>
    <t>ADE SURYANI, S.Pd.</t>
  </si>
  <si>
    <t>AJENG SUSANTI, S.Pd.</t>
  </si>
  <si>
    <t>ALI MUCHSIN</t>
  </si>
  <si>
    <t>ANNA NUGROHOWATI, S.Pd.</t>
  </si>
  <si>
    <t>ASEP HERMAN NURSALAM, S.Kom</t>
  </si>
  <si>
    <t>ASEP KUAT HIDAYATULLOH, S.Pd.</t>
  </si>
  <si>
    <t>ASEP RUDI NURJAMAN, S.Pd, M.Pd.I.</t>
  </si>
  <si>
    <t>DEWI KURNIA, S.Pd.</t>
  </si>
  <si>
    <t>DIAN CATUR OKTANIA, S.Pd.</t>
  </si>
  <si>
    <t>Dra. DINDIN MULDIANAH</t>
  </si>
  <si>
    <t>ELINA APIANI, A.Md.</t>
  </si>
  <si>
    <t>ENJEN ABDUL ZAENI, S.H.I., M.Pd.I</t>
  </si>
  <si>
    <t xml:space="preserve">FIDMAWAN HADRIASTIKA DEDI, M.Pd </t>
  </si>
  <si>
    <t>GATOT TAOFIK, S.Pd.</t>
  </si>
  <si>
    <t>GILANG SATRIA DIRGANTARA, S.Pd.</t>
  </si>
  <si>
    <t>GITA MAHARANI, S.Pd.</t>
  </si>
  <si>
    <t>IIS SABIAH, S.I.Kom., S.Pd., M.Hum.</t>
  </si>
  <si>
    <t>INDRI DESTIANY, S.Pd.</t>
  </si>
  <si>
    <t>INTAN SITI MUHAROMAH, S.Pd.</t>
  </si>
  <si>
    <t>IWAN SYARIF HIDAYAT, S.Pd.</t>
  </si>
  <si>
    <t>JUWITA SITI NURLAELI , S.Pd.</t>
  </si>
  <si>
    <t>KANIA RACHMAWATI. S.Ag.</t>
  </si>
  <si>
    <t>KOKOM KOMALASARI, S.Pd.</t>
  </si>
  <si>
    <t>LINDA YUDANI, S.P, S.Pd</t>
  </si>
  <si>
    <t>MUHAMMAD PRAKARSA AL-QADR SALEH S.T., S.Kom., M.Kom.</t>
  </si>
  <si>
    <t>MAKSUM EFENDI S.Pd.I.</t>
  </si>
  <si>
    <t>METI KARLINA , S.E.</t>
  </si>
  <si>
    <t>MONI MORITHA ZELLY, M.Pd.</t>
  </si>
  <si>
    <t>N. YANI SURYANI, S.Pd.</t>
  </si>
  <si>
    <t>NADILI SUPENA, S.Ag.</t>
  </si>
  <si>
    <t>NENI SEPTILIA, S.Pd.</t>
  </si>
  <si>
    <t>RAHAYU DALYANTI, S.Pd.</t>
  </si>
  <si>
    <t>RIDWAN SHIDIQ, S.Pd.</t>
  </si>
  <si>
    <t>RIMA PERMATA ELLYA, S.Pd.</t>
  </si>
  <si>
    <t>ROBINGAH, S.Pd.</t>
  </si>
  <si>
    <t>SANDRA IRAWAN, SPd</t>
  </si>
  <si>
    <t>SLAMET RIYADI, S.T.</t>
  </si>
  <si>
    <t>SYARIF HIDAYAT S.Ag.,M.Pd.</t>
  </si>
  <si>
    <t>TRI DEWI ISMAYANTI, S.Pd.</t>
  </si>
  <si>
    <t>WAHYU SETIYANTO, S.Pd.</t>
  </si>
  <si>
    <t>MTK</t>
  </si>
  <si>
    <t>MATEMATIKA XI</t>
  </si>
  <si>
    <t>MATEMATIKA X</t>
  </si>
  <si>
    <t>BAHASA INDONESIA XII</t>
  </si>
  <si>
    <t>IND</t>
  </si>
  <si>
    <t>BAHASA INDONESIA XI</t>
  </si>
  <si>
    <t>BAHASA INDONESIA X</t>
  </si>
  <si>
    <t>BAHASA INGGRIS XII</t>
  </si>
  <si>
    <t>BING</t>
  </si>
  <si>
    <t>BAHASA INGGRIS XI</t>
  </si>
  <si>
    <t>BAHASA INGGRIS X</t>
  </si>
  <si>
    <t>PENDIDIKAN AGAMA ISLAM DAN BUDI PEKERTI XII</t>
  </si>
  <si>
    <t>PAI</t>
  </si>
  <si>
    <t>PENDIDIKAN AGAMA ISLAM DAN BUDI PEKERTI XI</t>
  </si>
  <si>
    <t>PENDIDIKAN AGAMA ISLAM DAN BUDI PEKERTI X</t>
  </si>
  <si>
    <t>PPKN XII</t>
  </si>
  <si>
    <t>PKN</t>
  </si>
  <si>
    <t>PPKN XI</t>
  </si>
  <si>
    <t>PPKN X</t>
  </si>
  <si>
    <t>PJOK XII</t>
  </si>
  <si>
    <t>PJOK</t>
  </si>
  <si>
    <t>PJOK XI</t>
  </si>
  <si>
    <t>PJOK X</t>
  </si>
  <si>
    <t>BAHASA SUNDA XII</t>
  </si>
  <si>
    <t>SDA</t>
  </si>
  <si>
    <t>BAHASA SUNDA XI</t>
  </si>
  <si>
    <t>BAHASA SUNDA X</t>
  </si>
  <si>
    <t>BAHASA JEPANG XII</t>
  </si>
  <si>
    <t>JPG</t>
  </si>
  <si>
    <t>SENI</t>
  </si>
  <si>
    <t>SEJARAH</t>
  </si>
  <si>
    <t>SJR</t>
  </si>
  <si>
    <t>IPAS</t>
  </si>
  <si>
    <t>PPAI XI</t>
  </si>
  <si>
    <t>PPAI</t>
  </si>
  <si>
    <t>PPAI X</t>
  </si>
  <si>
    <t>BK XI</t>
  </si>
  <si>
    <t>BK</t>
  </si>
  <si>
    <t>BK X</t>
  </si>
  <si>
    <t>PBO XII</t>
  </si>
  <si>
    <t>PBO</t>
  </si>
  <si>
    <t>PBO XI</t>
  </si>
  <si>
    <t>PKK XII</t>
  </si>
  <si>
    <t>PKK</t>
  </si>
  <si>
    <t>PKK XI</t>
  </si>
  <si>
    <t>BASIS DATA XII</t>
  </si>
  <si>
    <t>DB</t>
  </si>
  <si>
    <t>BASIS DATA XI</t>
  </si>
  <si>
    <t>INFORMATIKA</t>
  </si>
  <si>
    <t>IF</t>
  </si>
  <si>
    <t>FOTOGRAFI XII</t>
  </si>
  <si>
    <t>FTO</t>
  </si>
  <si>
    <t>FOTOGRAFI XI</t>
  </si>
  <si>
    <t>PPP</t>
  </si>
  <si>
    <t>PWPB XII</t>
  </si>
  <si>
    <t>PWPB</t>
  </si>
  <si>
    <t>PWPB XI</t>
  </si>
  <si>
    <t>DDK</t>
  </si>
  <si>
    <t>PEMODELAN (PPL)</t>
  </si>
  <si>
    <t>PPL</t>
  </si>
  <si>
    <t>VIDEOGRAFI XII</t>
  </si>
  <si>
    <t>VDO</t>
  </si>
  <si>
    <t>VIDEOGRAFI XI</t>
  </si>
  <si>
    <t>PROSES DIGITAL XII</t>
  </si>
  <si>
    <t>PRD</t>
  </si>
  <si>
    <t>PROSES DIGITAL XI</t>
  </si>
  <si>
    <t>2D XII</t>
  </si>
  <si>
    <t>2D</t>
  </si>
  <si>
    <t>2D XI</t>
  </si>
  <si>
    <t>3D XII</t>
  </si>
  <si>
    <t>3D</t>
  </si>
  <si>
    <t>3D XI</t>
  </si>
  <si>
    <t>KOM.GRAFIS XII</t>
  </si>
  <si>
    <t>KGR</t>
  </si>
  <si>
    <t>KOM.GRAFIS XI</t>
  </si>
  <si>
    <t>DESAIN PUBLIKASI XII</t>
  </si>
  <si>
    <t>DPB</t>
  </si>
  <si>
    <t>DESAIN PUBLIKASI XI</t>
  </si>
  <si>
    <t>AKT.KEUANGAN XII</t>
  </si>
  <si>
    <t>AKU</t>
  </si>
  <si>
    <t>AKT.KEUANGAN XI</t>
  </si>
  <si>
    <t>PRAKTIK AKUNTANSI LEMBAGA XII</t>
  </si>
  <si>
    <t>PAL</t>
  </si>
  <si>
    <t>PRAKTIK AKUNTANSI LEMBAGA XI</t>
  </si>
  <si>
    <t>ADM.PAJAK XII</t>
  </si>
  <si>
    <t>ADP</t>
  </si>
  <si>
    <t>ADM.PAJAK XI</t>
  </si>
  <si>
    <t>KOM. AKUNTANSI XII</t>
  </si>
  <si>
    <t>KMA</t>
  </si>
  <si>
    <t>KOM. AKUNTANSI XI</t>
  </si>
  <si>
    <t>PRAKTIK AKUNTANSI PERUSAHAN DAN MANUFAKTUR XII (PAP)</t>
  </si>
  <si>
    <t>PAP</t>
  </si>
  <si>
    <t>PRAKTIK AKUNTANSI PERUSAHAN DAN MANUFAKTUR XI (PAP)</t>
  </si>
  <si>
    <t>DESAIN PRODUK XI</t>
  </si>
  <si>
    <t>DSP</t>
  </si>
  <si>
    <t>BISNIS DARING XI</t>
  </si>
  <si>
    <t>BSD</t>
  </si>
  <si>
    <t>ADMINITRASI TRANSAKSI XI</t>
  </si>
  <si>
    <t>ADT</t>
  </si>
  <si>
    <t>RITEL XI</t>
  </si>
  <si>
    <t>RTL</t>
  </si>
  <si>
    <t xml:space="preserve">MATEMATIKA </t>
  </si>
  <si>
    <t xml:space="preserve">BAHASA INDONESIA </t>
  </si>
  <si>
    <t xml:space="preserve">BAHASA INGGRIS </t>
  </si>
  <si>
    <t xml:space="preserve">PENDIDIKAN AGAMA ISLAM DAN BUDI PEKERTI </t>
  </si>
  <si>
    <t xml:space="preserve">PPKN </t>
  </si>
  <si>
    <t xml:space="preserve">PJOK </t>
  </si>
  <si>
    <t xml:space="preserve">BAHASA SUNDA </t>
  </si>
  <si>
    <t xml:space="preserve">BAHASA JEPANG </t>
  </si>
  <si>
    <t xml:space="preserve">PPAI </t>
  </si>
  <si>
    <t xml:space="preserve">BK </t>
  </si>
  <si>
    <t xml:space="preserve">PKK </t>
  </si>
  <si>
    <t>JADWAL KEGIATAN BELAJAR MENGAJAR (KBM) MODEL BLOK</t>
  </si>
  <si>
    <t>Prog. Keahlian</t>
  </si>
  <si>
    <t>:  Pengembangan Perangkat Lunak dan GIM</t>
  </si>
  <si>
    <t>Kelas/Semester</t>
  </si>
  <si>
    <t>:  X/Genap</t>
  </si>
  <si>
    <t>Kompetensi Keahlian</t>
  </si>
  <si>
    <t>:  Teknik Komputer dan Informatika</t>
  </si>
  <si>
    <t xml:space="preserve">Tahun Pelajaran </t>
  </si>
  <si>
    <t>:  2021/2022</t>
  </si>
  <si>
    <t>Tabel 1:  Jadwal Mapel Produktif dan Teori</t>
  </si>
  <si>
    <t>Tabel 2: Kode Guru dan Mata Pelajaran</t>
  </si>
  <si>
    <t>REV. 01  KURIKULUM PK</t>
  </si>
  <si>
    <t>(PRODUKTIF)</t>
  </si>
  <si>
    <t>(TEORI)</t>
  </si>
  <si>
    <t>No.</t>
  </si>
  <si>
    <t>Kode Guru</t>
  </si>
  <si>
    <t>Nama Guru</t>
  </si>
  <si>
    <t>Mapel/Kompetensi yang Diampu</t>
  </si>
  <si>
    <t>Hari</t>
  </si>
  <si>
    <t>Waktu (Pukul)</t>
  </si>
  <si>
    <t>Jam Ke</t>
  </si>
  <si>
    <t>Rombel 1 (R1)</t>
  </si>
  <si>
    <t>Rombel Gabungan</t>
  </si>
  <si>
    <t>Rombel 2 (R2)</t>
  </si>
  <si>
    <t>R1 (Rombel 1)</t>
  </si>
  <si>
    <t>R2 (Rombel 2)</t>
  </si>
  <si>
    <t>Kode Mapel/ Kompetensi</t>
  </si>
  <si>
    <t>Nama Mapel/Kompetensi</t>
  </si>
  <si>
    <t>Kode Mapel</t>
  </si>
  <si>
    <t>Ruang</t>
  </si>
  <si>
    <t>SENIN</t>
  </si>
  <si>
    <t>07.15 - 07.55</t>
  </si>
  <si>
    <t>UPACARA</t>
  </si>
  <si>
    <t>KEAGAMAAN, KEBERSIHAN</t>
  </si>
  <si>
    <t>OLAHRAGA, KONSELING</t>
  </si>
  <si>
    <t>07.55 - 08.35</t>
  </si>
  <si>
    <t>SIMDIG</t>
  </si>
  <si>
    <t>RPL 04</t>
  </si>
  <si>
    <t>LABKOM</t>
  </si>
  <si>
    <t>BIN</t>
  </si>
  <si>
    <t>NA 44</t>
  </si>
  <si>
    <t>BENGKEL</t>
  </si>
  <si>
    <t>08.35 - 09.15</t>
  </si>
  <si>
    <t>NA 45</t>
  </si>
  <si>
    <t>Wilibrodus Benisans S., S.Ag</t>
  </si>
  <si>
    <t>09.15 - 09.55</t>
  </si>
  <si>
    <t>NA 30</t>
  </si>
  <si>
    <t>Dina Masak, S.Pd</t>
  </si>
  <si>
    <t>09.55 - 10.10</t>
  </si>
  <si>
    <t>ISTIRAHAT I</t>
  </si>
  <si>
    <t>Siswatiningsih, S.Pd</t>
  </si>
  <si>
    <t>10.10 - 10.50</t>
  </si>
  <si>
    <t>NA 22</t>
  </si>
  <si>
    <t>Sugeng Suprayogi, M.Pd</t>
  </si>
  <si>
    <t>10.50 - 11.30</t>
  </si>
  <si>
    <t>GAMTEK</t>
  </si>
  <si>
    <t>TLP 02</t>
  </si>
  <si>
    <t>PKWH</t>
  </si>
  <si>
    <t>NA 36</t>
  </si>
  <si>
    <t>NA 26</t>
  </si>
  <si>
    <t>Nursin, S.Pd</t>
  </si>
  <si>
    <t>11.30 - 12.10</t>
  </si>
  <si>
    <t>NA 31</t>
  </si>
  <si>
    <t>Saidiman, S.Pd</t>
  </si>
  <si>
    <t>12.10 - 12.40</t>
  </si>
  <si>
    <t>ISTIRAHAT II</t>
  </si>
  <si>
    <t>NA 43</t>
  </si>
  <si>
    <t>Vera Darmiyati, S.Pd</t>
  </si>
  <si>
    <t>12.40 - 13.20</t>
  </si>
  <si>
    <t>PENJAS</t>
  </si>
  <si>
    <t>NA 16</t>
  </si>
  <si>
    <t>13.20 - 14.00</t>
  </si>
  <si>
    <t>RPL 01</t>
  </si>
  <si>
    <t>Samsul Anwar, S.T</t>
  </si>
  <si>
    <t>SELASA</t>
  </si>
  <si>
    <t>PPKN</t>
  </si>
  <si>
    <t>Suryanto, S.Pd</t>
  </si>
  <si>
    <t>Irsyam, S.Kom</t>
  </si>
  <si>
    <t>DPL</t>
  </si>
  <si>
    <t>TLP 14</t>
  </si>
  <si>
    <t>TLP 05</t>
  </si>
  <si>
    <t>SEJINDO</t>
  </si>
  <si>
    <t>NA 32</t>
  </si>
  <si>
    <t>M. Askar, M.Pd</t>
  </si>
  <si>
    <t>KIM 13</t>
  </si>
  <si>
    <t>Nurul Idayati, S.Pd</t>
  </si>
  <si>
    <t>Ruslan, S.Pd, S.Mn</t>
  </si>
  <si>
    <t>Gambar Teknik</t>
  </si>
  <si>
    <t>Jonar Gultom, S.Pd</t>
  </si>
  <si>
    <t>Dasar dan Pengukuran Listrik</t>
  </si>
  <si>
    <t>TLP 06</t>
  </si>
  <si>
    <t>Sukman, S.Pd</t>
  </si>
  <si>
    <t>Pekerjaan Dasar Elektromekanik</t>
  </si>
  <si>
    <t>SENBUD</t>
  </si>
  <si>
    <t>Imelda Tito, S.Pd</t>
  </si>
  <si>
    <t>RABU</t>
  </si>
  <si>
    <t>PDE</t>
  </si>
  <si>
    <t>AGAMA</t>
  </si>
  <si>
    <t>NA 02/07</t>
  </si>
  <si>
    <t>Tabel 3: Periodisasi (Pelaksanaan) KBM Mapel Produktif dan Teori</t>
  </si>
  <si>
    <t>MINGGU KE</t>
  </si>
  <si>
    <t>TANGGAL</t>
  </si>
  <si>
    <t>10-114 Jan</t>
  </si>
  <si>
    <t>25-30 Juli</t>
  </si>
  <si>
    <t>1 - 6 Agt</t>
  </si>
  <si>
    <t>8 - 13 Agt</t>
  </si>
  <si>
    <t>15 - 20 Agt</t>
  </si>
  <si>
    <t>22 - 27 Agt</t>
  </si>
  <si>
    <t>29-31 Agt, 1-3 Sep</t>
  </si>
  <si>
    <t>5 - 10 Sep</t>
  </si>
  <si>
    <t>12 - 17 Sep</t>
  </si>
  <si>
    <t>19 - 24 Sep</t>
  </si>
  <si>
    <t>26-30 Sep, 1 Okt</t>
  </si>
  <si>
    <t>3 - 8 Okt</t>
  </si>
  <si>
    <t>10 - 15 Okt</t>
  </si>
  <si>
    <t>17 - 22 Okt</t>
  </si>
  <si>
    <t>24 - 29 Okt</t>
  </si>
  <si>
    <t>31 Okt, 1-5 Nov</t>
  </si>
  <si>
    <t>7 - 12 Nov</t>
  </si>
  <si>
    <t>14 - 19 Nov</t>
  </si>
  <si>
    <t>21 - 26 Nov</t>
  </si>
  <si>
    <t>28-30 Nov, 1-3 Des</t>
  </si>
  <si>
    <t>5 - 10 Des</t>
  </si>
  <si>
    <t>BIG</t>
  </si>
  <si>
    <t>KELAS</t>
  </si>
  <si>
    <t>X</t>
  </si>
  <si>
    <t>P</t>
  </si>
  <si>
    <t>T</t>
  </si>
  <si>
    <t>UTS</t>
  </si>
  <si>
    <t>UAS</t>
  </si>
  <si>
    <t>KAMIS</t>
  </si>
  <si>
    <t>KIMIA</t>
  </si>
  <si>
    <t>XI</t>
  </si>
  <si>
    <t>XII</t>
  </si>
  <si>
    <t>Keterangan:</t>
  </si>
  <si>
    <t>1.</t>
  </si>
  <si>
    <t>T = KBM Teori (Mapel Wajib A dan B)</t>
  </si>
  <si>
    <t>P = KBM Produktif (Mapel Peminatan)</t>
  </si>
  <si>
    <t>2.</t>
  </si>
  <si>
    <t>Pelaksanaan KBM Model Blok mapel produktif dan teori dilaksanakan bergantian setiap satu minggu, dengan pengaturan periodisasi sebagaimana Tabel 3.</t>
  </si>
  <si>
    <t>JUMAT</t>
  </si>
  <si>
    <t>Bontang, 10 Januari 2022</t>
  </si>
  <si>
    <t>Kepala Sekolah,</t>
  </si>
  <si>
    <t>SABTU</t>
  </si>
  <si>
    <t>FISIKA</t>
  </si>
  <si>
    <t>Dani Wardani,S.Hum., M.Pd</t>
  </si>
  <si>
    <t>NIP -</t>
  </si>
  <si>
    <t>Prog. Studi Keahlian</t>
  </si>
  <si>
    <t>:  XI/Ganjil</t>
  </si>
  <si>
    <t>Paket Keahlian</t>
  </si>
  <si>
    <t>REV. 01  VER K13 LM</t>
  </si>
  <si>
    <t>NA 02</t>
  </si>
  <si>
    <t>Saptiawati, S.Ag</t>
  </si>
  <si>
    <t>Pendidikan Agama Islam &amp; Budi Pekerti</t>
  </si>
  <si>
    <t>IPL</t>
  </si>
  <si>
    <t>TLP 04</t>
  </si>
  <si>
    <t>NA 28</t>
  </si>
  <si>
    <t>R 15</t>
  </si>
  <si>
    <t>NA 05</t>
  </si>
  <si>
    <t>Fadli Rithe, S.Th</t>
  </si>
  <si>
    <t>Pendidikan Agama Kristen &amp; Budi Pekerti</t>
  </si>
  <si>
    <t>Pendidikan Agama Katolik &amp; Budi Pekerti</t>
  </si>
  <si>
    <t>ITL</t>
  </si>
  <si>
    <t>NA 10</t>
  </si>
  <si>
    <t>NA 08</t>
  </si>
  <si>
    <t>Supartono, S.H, M.M</t>
  </si>
  <si>
    <t>Pendidikan Pancasila dan Keawarganegaraan</t>
  </si>
  <si>
    <t>Nadirah, S.Pd</t>
  </si>
  <si>
    <t>Bahasa Indonesia</t>
  </si>
  <si>
    <t>NA 20</t>
  </si>
  <si>
    <t>Soleh, S.Pd</t>
  </si>
  <si>
    <t>Matematika</t>
  </si>
  <si>
    <t>Nanik Sukartini, S.Pd</t>
  </si>
  <si>
    <t>Sejarah Indonesia</t>
  </si>
  <si>
    <t>Bahasa Inggris</t>
  </si>
  <si>
    <t>NA 39</t>
  </si>
  <si>
    <t>Dra. Hasmirah</t>
  </si>
  <si>
    <t>Seni Budaya</t>
  </si>
  <si>
    <t>KWH</t>
  </si>
  <si>
    <t>BK/BP</t>
  </si>
  <si>
    <t>Bimbingan Konseling</t>
  </si>
  <si>
    <t>Pendidikan Jasmani, Olah Raga, &amp; Kesehatan</t>
  </si>
  <si>
    <t>Zahrotul M., M.Pd</t>
  </si>
  <si>
    <t>Kewirausahaan</t>
  </si>
  <si>
    <t>LAYANAN TIK</t>
  </si>
  <si>
    <t>Pembimbingan dan Pelayanan TIK</t>
  </si>
  <si>
    <t>Fisika</t>
  </si>
  <si>
    <t>Kimia</t>
  </si>
  <si>
    <t>Instalasi Penerangan Listrik</t>
  </si>
  <si>
    <t>IML</t>
  </si>
  <si>
    <t>Drs. Sugeng Wahyudi</t>
  </si>
  <si>
    <t>Instalasi Tenaga Listrik</t>
  </si>
  <si>
    <t>TLP 01</t>
  </si>
  <si>
    <t>Drs. Hartono</t>
  </si>
  <si>
    <t>TLP 10</t>
  </si>
  <si>
    <t>Suriani, S.Pd</t>
  </si>
  <si>
    <t>Instalasi Motor Listrik</t>
  </si>
  <si>
    <t>Imelda tito, S.Pd</t>
  </si>
  <si>
    <t>NA 02/05</t>
  </si>
  <si>
    <t>18-23 Juli</t>
  </si>
  <si>
    <t>Bontang, 4 Oktober 2016</t>
  </si>
  <si>
    <t>Drs. Kasman Purba, M.Pd</t>
  </si>
  <si>
    <t>NIP 19651126 199203 1 003</t>
  </si>
  <si>
    <t>:  XII/Ganjil</t>
  </si>
  <si>
    <t>TLP 03</t>
  </si>
  <si>
    <t>NA 17</t>
  </si>
  <si>
    <t>R 09</t>
  </si>
  <si>
    <t>NA 06</t>
  </si>
  <si>
    <t>Dra. Rosinta Nababan</t>
  </si>
  <si>
    <t>Hawis G. W., S.Pd, M.M</t>
  </si>
  <si>
    <t>NA 27</t>
  </si>
  <si>
    <t>Sri Sunarni, S.Pd</t>
  </si>
  <si>
    <t>NA 13</t>
  </si>
  <si>
    <t>Apris Triatmiko, S.Pd</t>
  </si>
  <si>
    <t>Dra. Indah Haryati</t>
  </si>
  <si>
    <t>Sukman</t>
  </si>
  <si>
    <t>NA 02/06</t>
  </si>
  <si>
    <t>JADWAL PEMBELAJARAN TATAP MUKA DAN DARING</t>
  </si>
  <si>
    <t>X RPL 1</t>
  </si>
  <si>
    <t>ISTIRAHAT DZUHUR</t>
  </si>
  <si>
    <t>X RPL 2</t>
  </si>
  <si>
    <t>X RPL 3</t>
  </si>
  <si>
    <t>X AKT 1</t>
  </si>
  <si>
    <t>X AKT 2</t>
  </si>
  <si>
    <t>WAKTU</t>
  </si>
  <si>
    <t>08.00-08.20</t>
  </si>
  <si>
    <t>08.20-08.40</t>
  </si>
  <si>
    <t>08.40-09.00</t>
  </si>
  <si>
    <t>09.00-09.20</t>
  </si>
  <si>
    <t>09.20-09.40</t>
  </si>
  <si>
    <t>09.40-10.00</t>
  </si>
  <si>
    <t>10.00-10.20</t>
  </si>
  <si>
    <t>10.20-10.40</t>
  </si>
  <si>
    <t>12.40-13.00</t>
  </si>
  <si>
    <t>13.00-13.20</t>
  </si>
  <si>
    <t>13.20-13.40</t>
  </si>
  <si>
    <t>KELAS X</t>
  </si>
  <si>
    <t>10.40-11.00</t>
  </si>
  <si>
    <t>11.00-11.20</t>
  </si>
  <si>
    <t>11.20-12.40</t>
  </si>
  <si>
    <t>13.40-14.00</t>
  </si>
  <si>
    <t>nama guru</t>
  </si>
  <si>
    <t>Produktif RPL</t>
  </si>
  <si>
    <t>Produktif Animasi</t>
  </si>
  <si>
    <t>Produktif DKV</t>
  </si>
  <si>
    <t>Produktif Akuntansi</t>
  </si>
  <si>
    <t>Produktif BDP</t>
  </si>
  <si>
    <t>No</t>
  </si>
  <si>
    <t>Nama</t>
  </si>
  <si>
    <t>Jabatan</t>
  </si>
  <si>
    <t>Triwijayanto Sujono, A.Md.</t>
  </si>
  <si>
    <t>Kepala TU</t>
  </si>
  <si>
    <t>Zia Fauziah, A.Md.</t>
  </si>
  <si>
    <t>Staf TU</t>
  </si>
  <si>
    <t>Ai Rohayati</t>
  </si>
  <si>
    <t>Staf Keuangan</t>
  </si>
  <si>
    <t>Imas Masripah</t>
  </si>
  <si>
    <t>Septian Nugraha</t>
  </si>
  <si>
    <t>Nurani</t>
  </si>
  <si>
    <t>Dini Herdianti</t>
  </si>
  <si>
    <t>M Yusuf Khoirurizal</t>
  </si>
  <si>
    <t>Puja Laksana</t>
  </si>
  <si>
    <t>Teguh Herdiana, S.Kom</t>
  </si>
  <si>
    <t>Pustakawan</t>
  </si>
  <si>
    <t>Staf IT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</si>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</sst>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8"/>
      <color theme="1"/>
      <name val="Times New Roman"/>
    </font>
    <font>
      <b/>
      <sz val="16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9"/>
      <color theme="1"/>
      <name val="Times New Roman"/>
    </font>
    <font>
      <sz val="13"/>
      <color theme="1"/>
      <name val="Times New Roman"/>
    </font>
    <font>
      <b/>
      <sz val="8"/>
      <color theme="1"/>
      <name val="Calibri"/>
    </font>
    <font>
      <b/>
      <sz val="10"/>
      <color theme="1"/>
      <name val="Times New Roman"/>
    </font>
    <font>
      <sz val="8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33CC33"/>
        <bgColor rgb="FF33CC33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2E2E2"/>
        <bgColor rgb="FFE2E2E2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</fills>
  <borders count="2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441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left" vertical="center"/>
    </xf>
    <xf numFmtId="0" fontId="0" fillId="3" borderId="6" xfId="0" applyFont="1" applyFill="1" applyBorder="1"/>
    <xf numFmtId="0" fontId="0" fillId="3" borderId="6" xfId="0" applyFont="1" applyFill="1" applyBorder="1" applyAlignment="1">
      <alignment horizontal="center"/>
    </xf>
    <xf numFmtId="0" fontId="0" fillId="3" borderId="8" xfId="0" applyFont="1" applyFill="1" applyBorder="1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left" vertical="center"/>
    </xf>
    <xf numFmtId="0" fontId="0" fillId="4" borderId="6" xfId="0" applyFont="1" applyFill="1" applyBorder="1"/>
    <xf numFmtId="0" fontId="0" fillId="4" borderId="6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5" borderId="6" xfId="0" applyFont="1" applyFill="1" applyBorder="1"/>
    <xf numFmtId="0" fontId="3" fillId="0" borderId="0" xfId="0" applyFont="1"/>
    <xf numFmtId="1" fontId="0" fillId="0" borderId="0" xfId="0" applyNumberFormat="1" applyFont="1"/>
    <xf numFmtId="0" fontId="0" fillId="0" borderId="0" xfId="0" applyFont="1"/>
    <xf numFmtId="0" fontId="0" fillId="3" borderId="12" xfId="0" applyFont="1" applyFill="1" applyBorder="1" applyAlignment="1">
      <alignment horizontal="left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3" xfId="0" applyFont="1" applyFill="1" applyBorder="1"/>
    <xf numFmtId="0" fontId="0" fillId="5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4" borderId="6" xfId="0" applyFont="1" applyFill="1" applyBorder="1" applyAlignment="1">
      <alignment vertical="center"/>
    </xf>
    <xf numFmtId="0" fontId="0" fillId="4" borderId="17" xfId="0" applyFont="1" applyFill="1" applyBorder="1" applyAlignment="1">
      <alignment horizontal="center"/>
    </xf>
    <xf numFmtId="0" fontId="0" fillId="4" borderId="12" xfId="0" applyFont="1" applyFill="1" applyBorder="1"/>
    <xf numFmtId="0" fontId="0" fillId="4" borderId="1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9" borderId="17" xfId="0" applyFont="1" applyFill="1" applyBorder="1"/>
    <xf numFmtId="0" fontId="5" fillId="9" borderId="17" xfId="0" applyFont="1" applyFill="1" applyBorder="1" applyAlignment="1">
      <alignment vertical="center"/>
    </xf>
    <xf numFmtId="0" fontId="6" fillId="9" borderId="17" xfId="0" applyFont="1" applyFill="1" applyBorder="1" applyAlignment="1">
      <alignment horizontal="left" vertical="center"/>
    </xf>
    <xf numFmtId="0" fontId="6" fillId="9" borderId="17" xfId="0" applyFont="1" applyFill="1" applyBorder="1" applyAlignment="1">
      <alignment vertical="center"/>
    </xf>
    <xf numFmtId="0" fontId="7" fillId="9" borderId="17" xfId="0" applyFont="1" applyFill="1" applyBorder="1" applyAlignment="1">
      <alignment vertical="center"/>
    </xf>
    <xf numFmtId="0" fontId="0" fillId="9" borderId="17" xfId="0" applyFont="1" applyFill="1" applyBorder="1" applyAlignment="1">
      <alignment horizontal="right"/>
    </xf>
    <xf numFmtId="0" fontId="8" fillId="9" borderId="17" xfId="0" applyFont="1" applyFill="1" applyBorder="1" applyAlignment="1">
      <alignment vertical="center"/>
    </xf>
    <xf numFmtId="0" fontId="8" fillId="9" borderId="17" xfId="0" applyFont="1" applyFill="1" applyBorder="1" applyAlignment="1">
      <alignment vertical="center" wrapText="1"/>
    </xf>
    <xf numFmtId="0" fontId="0" fillId="6" borderId="27" xfId="0" applyFont="1" applyFill="1" applyBorder="1"/>
    <xf numFmtId="0" fontId="0" fillId="6" borderId="28" xfId="0" applyFont="1" applyFill="1" applyBorder="1"/>
    <xf numFmtId="0" fontId="8" fillId="6" borderId="53" xfId="0" applyFont="1" applyFill="1" applyBorder="1" applyAlignment="1">
      <alignment horizontal="center" vertical="center" wrapText="1"/>
    </xf>
    <xf numFmtId="0" fontId="8" fillId="6" borderId="54" xfId="0" applyFont="1" applyFill="1" applyBorder="1" applyAlignment="1">
      <alignment horizontal="center" vertical="center"/>
    </xf>
    <xf numFmtId="0" fontId="8" fillId="6" borderId="55" xfId="0" applyFont="1" applyFill="1" applyBorder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/>
    </xf>
    <xf numFmtId="0" fontId="8" fillId="10" borderId="58" xfId="0" applyFont="1" applyFill="1" applyBorder="1" applyAlignment="1">
      <alignment horizontal="center" vertical="center" wrapText="1"/>
    </xf>
    <xf numFmtId="0" fontId="8" fillId="10" borderId="57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center" vertical="center"/>
    </xf>
    <xf numFmtId="0" fontId="6" fillId="6" borderId="64" xfId="0" applyFont="1" applyFill="1" applyBorder="1" applyAlignment="1">
      <alignment horizontal="center" vertical="center"/>
    </xf>
    <xf numFmtId="0" fontId="6" fillId="9" borderId="71" xfId="0" applyFont="1" applyFill="1" applyBorder="1" applyAlignment="1">
      <alignment horizontal="center" vertical="center"/>
    </xf>
    <xf numFmtId="0" fontId="6" fillId="9" borderId="76" xfId="0" quotePrefix="1" applyFont="1" applyFill="1" applyBorder="1" applyAlignment="1">
      <alignment horizontal="center" vertical="center"/>
    </xf>
    <xf numFmtId="0" fontId="6" fillId="9" borderId="77" xfId="0" applyFont="1" applyFill="1" applyBorder="1" applyAlignment="1">
      <alignment horizontal="center" vertical="center"/>
    </xf>
    <xf numFmtId="0" fontId="6" fillId="9" borderId="80" xfId="0" applyFont="1" applyFill="1" applyBorder="1" applyAlignment="1">
      <alignment horizontal="center" vertical="center"/>
    </xf>
    <xf numFmtId="0" fontId="6" fillId="9" borderId="81" xfId="0" applyFont="1" applyFill="1" applyBorder="1" applyAlignment="1">
      <alignment horizontal="center" vertical="center"/>
    </xf>
    <xf numFmtId="0" fontId="6" fillId="9" borderId="82" xfId="0" applyFont="1" applyFill="1" applyBorder="1" applyAlignment="1">
      <alignment horizontal="center"/>
    </xf>
    <xf numFmtId="0" fontId="6" fillId="9" borderId="83" xfId="0" applyFont="1" applyFill="1" applyBorder="1" applyAlignment="1">
      <alignment horizontal="center"/>
    </xf>
    <xf numFmtId="0" fontId="6" fillId="9" borderId="84" xfId="0" applyFont="1" applyFill="1" applyBorder="1" applyAlignment="1">
      <alignment horizontal="center"/>
    </xf>
    <xf numFmtId="0" fontId="6" fillId="9" borderId="85" xfId="0" applyFont="1" applyFill="1" applyBorder="1" applyAlignment="1">
      <alignment horizontal="center" vertical="center"/>
    </xf>
    <xf numFmtId="0" fontId="6" fillId="9" borderId="87" xfId="0" applyFont="1" applyFill="1" applyBorder="1" applyAlignment="1">
      <alignment horizontal="center" vertical="center"/>
    </xf>
    <xf numFmtId="0" fontId="6" fillId="9" borderId="88" xfId="0" applyFont="1" applyFill="1" applyBorder="1" applyAlignment="1">
      <alignment horizontal="center" vertical="center"/>
    </xf>
    <xf numFmtId="0" fontId="6" fillId="9" borderId="80" xfId="0" applyFont="1" applyFill="1" applyBorder="1" applyAlignment="1">
      <alignment horizontal="center" vertical="center" wrapText="1"/>
    </xf>
    <xf numFmtId="0" fontId="6" fillId="9" borderId="89" xfId="0" applyFont="1" applyFill="1" applyBorder="1" applyAlignment="1">
      <alignment horizontal="center"/>
    </xf>
    <xf numFmtId="0" fontId="10" fillId="9" borderId="85" xfId="0" applyFont="1" applyFill="1" applyBorder="1" applyAlignment="1">
      <alignment horizontal="center" vertical="center"/>
    </xf>
    <xf numFmtId="0" fontId="10" fillId="9" borderId="87" xfId="0" applyFont="1" applyFill="1" applyBorder="1" applyAlignment="1">
      <alignment horizontal="center" vertical="center"/>
    </xf>
    <xf numFmtId="0" fontId="6" fillId="9" borderId="90" xfId="0" applyFont="1" applyFill="1" applyBorder="1" applyAlignment="1">
      <alignment horizontal="center" vertical="center"/>
    </xf>
    <xf numFmtId="0" fontId="6" fillId="9" borderId="91" xfId="0" applyFont="1" applyFill="1" applyBorder="1" applyAlignment="1">
      <alignment horizontal="center"/>
    </xf>
    <xf numFmtId="0" fontId="6" fillId="9" borderId="80" xfId="0" applyFont="1" applyFill="1" applyBorder="1" applyAlignment="1">
      <alignment horizontal="center"/>
    </xf>
    <xf numFmtId="0" fontId="6" fillId="9" borderId="92" xfId="0" applyFont="1" applyFill="1" applyBorder="1" applyAlignment="1">
      <alignment horizontal="center"/>
    </xf>
    <xf numFmtId="0" fontId="6" fillId="9" borderId="91" xfId="0" applyFont="1" applyFill="1" applyBorder="1" applyAlignment="1">
      <alignment horizontal="center" vertical="center"/>
    </xf>
    <xf numFmtId="0" fontId="6" fillId="9" borderId="92" xfId="0" applyFont="1" applyFill="1" applyBorder="1" applyAlignment="1">
      <alignment horizontal="center" vertical="center"/>
    </xf>
    <xf numFmtId="0" fontId="6" fillId="6" borderId="76" xfId="0" quotePrefix="1" applyFont="1" applyFill="1" applyBorder="1" applyAlignment="1">
      <alignment horizontal="center" vertical="center"/>
    </xf>
    <xf numFmtId="0" fontId="6" fillId="6" borderId="77" xfId="0" applyFont="1" applyFill="1" applyBorder="1" applyAlignment="1">
      <alignment horizontal="center" vertical="center"/>
    </xf>
    <xf numFmtId="0" fontId="6" fillId="9" borderId="76" xfId="0" applyFont="1" applyFill="1" applyBorder="1" applyAlignment="1">
      <alignment horizontal="center" vertical="center"/>
    </xf>
    <xf numFmtId="0" fontId="6" fillId="9" borderId="87" xfId="0" applyFont="1" applyFill="1" applyBorder="1" applyAlignment="1">
      <alignment horizontal="center"/>
    </xf>
    <xf numFmtId="0" fontId="6" fillId="6" borderId="76" xfId="0" applyFont="1" applyFill="1" applyBorder="1" applyAlignment="1">
      <alignment horizontal="center" vertical="center"/>
    </xf>
    <xf numFmtId="0" fontId="6" fillId="9" borderId="100" xfId="0" applyFont="1" applyFill="1" applyBorder="1" applyAlignment="1">
      <alignment horizontal="center" vertical="center"/>
    </xf>
    <xf numFmtId="0" fontId="6" fillId="9" borderId="114" xfId="0" applyFont="1" applyFill="1" applyBorder="1" applyAlignment="1">
      <alignment horizontal="center" vertical="center"/>
    </xf>
    <xf numFmtId="0" fontId="6" fillId="9" borderId="115" xfId="0" applyFont="1" applyFill="1" applyBorder="1" applyAlignment="1">
      <alignment horizontal="center" vertical="center"/>
    </xf>
    <xf numFmtId="0" fontId="6" fillId="9" borderId="116" xfId="0" applyFont="1" applyFill="1" applyBorder="1" applyAlignment="1">
      <alignment horizontal="center" vertical="center"/>
    </xf>
    <xf numFmtId="0" fontId="6" fillId="9" borderId="117" xfId="0" applyFont="1" applyFill="1" applyBorder="1" applyAlignment="1">
      <alignment horizontal="center"/>
    </xf>
    <xf numFmtId="0" fontId="6" fillId="9" borderId="118" xfId="0" applyFont="1" applyFill="1" applyBorder="1" applyAlignment="1">
      <alignment horizontal="center" vertical="center"/>
    </xf>
    <xf numFmtId="0" fontId="6" fillId="9" borderId="120" xfId="0" applyFont="1" applyFill="1" applyBorder="1" applyAlignment="1">
      <alignment horizontal="center" vertical="center"/>
    </xf>
    <xf numFmtId="0" fontId="6" fillId="9" borderId="121" xfId="0" applyFont="1" applyFill="1" applyBorder="1" applyAlignment="1">
      <alignment horizontal="center" vertical="center"/>
    </xf>
    <xf numFmtId="0" fontId="6" fillId="9" borderId="122" xfId="0" applyFont="1" applyFill="1" applyBorder="1" applyAlignment="1">
      <alignment horizontal="center" vertical="center" wrapText="1"/>
    </xf>
    <xf numFmtId="0" fontId="6" fillId="9" borderId="123" xfId="0" applyFont="1" applyFill="1" applyBorder="1" applyAlignment="1">
      <alignment horizontal="center"/>
    </xf>
    <xf numFmtId="0" fontId="10" fillId="9" borderId="118" xfId="0" applyFont="1" applyFill="1" applyBorder="1" applyAlignment="1">
      <alignment horizontal="center" vertical="center"/>
    </xf>
    <xf numFmtId="0" fontId="10" fillId="9" borderId="120" xfId="0" applyFont="1" applyFill="1" applyBorder="1" applyAlignment="1">
      <alignment horizontal="center" vertical="center"/>
    </xf>
    <xf numFmtId="0" fontId="6" fillId="9" borderId="125" xfId="0" quotePrefix="1" applyFont="1" applyFill="1" applyBorder="1" applyAlignment="1">
      <alignment horizontal="center" vertical="center"/>
    </xf>
    <xf numFmtId="0" fontId="6" fillId="9" borderId="126" xfId="0" applyFont="1" applyFill="1" applyBorder="1" applyAlignment="1">
      <alignment horizontal="center" vertical="center"/>
    </xf>
    <xf numFmtId="0" fontId="6" fillId="9" borderId="83" xfId="0" applyFont="1" applyFill="1" applyBorder="1" applyAlignment="1">
      <alignment horizontal="center" vertical="center"/>
    </xf>
    <xf numFmtId="0" fontId="6" fillId="9" borderId="128" xfId="0" applyFont="1" applyFill="1" applyBorder="1" applyAlignment="1">
      <alignment horizontal="center" vertical="center"/>
    </xf>
    <xf numFmtId="0" fontId="6" fillId="9" borderId="82" xfId="0" applyFont="1" applyFill="1" applyBorder="1" applyAlignment="1">
      <alignment horizontal="center" vertical="center"/>
    </xf>
    <xf numFmtId="0" fontId="6" fillId="9" borderId="129" xfId="0" applyFont="1" applyFill="1" applyBorder="1" applyAlignment="1">
      <alignment horizontal="center" vertical="center"/>
    </xf>
    <xf numFmtId="0" fontId="6" fillId="9" borderId="89" xfId="0" applyFont="1" applyFill="1" applyBorder="1" applyAlignment="1">
      <alignment horizontal="center" vertical="center"/>
    </xf>
    <xf numFmtId="0" fontId="6" fillId="9" borderId="133" xfId="0" applyFont="1" applyFill="1" applyBorder="1" applyAlignment="1">
      <alignment horizontal="center" vertical="center"/>
    </xf>
    <xf numFmtId="0" fontId="6" fillId="9" borderId="134" xfId="0" applyFont="1" applyFill="1" applyBorder="1" applyAlignment="1">
      <alignment horizontal="center" vertical="center"/>
    </xf>
    <xf numFmtId="0" fontId="6" fillId="9" borderId="135" xfId="0" applyFont="1" applyFill="1" applyBorder="1" applyAlignment="1">
      <alignment horizontal="center"/>
    </xf>
    <xf numFmtId="0" fontId="10" fillId="9" borderId="129" xfId="0" applyFont="1" applyFill="1" applyBorder="1" applyAlignment="1">
      <alignment horizontal="center" vertical="center"/>
    </xf>
    <xf numFmtId="0" fontId="10" fillId="9" borderId="89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left" vertical="center"/>
    </xf>
    <xf numFmtId="0" fontId="6" fillId="9" borderId="137" xfId="0" applyFont="1" applyFill="1" applyBorder="1" applyAlignment="1">
      <alignment horizontal="left" vertical="center"/>
    </xf>
    <xf numFmtId="0" fontId="6" fillId="9" borderId="138" xfId="0" applyFont="1" applyFill="1" applyBorder="1" applyAlignment="1">
      <alignment horizontal="left" vertical="center"/>
    </xf>
    <xf numFmtId="0" fontId="6" fillId="9" borderId="139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left" vertical="center"/>
    </xf>
    <xf numFmtId="0" fontId="6" fillId="9" borderId="140" xfId="0" applyFont="1" applyFill="1" applyBorder="1" applyAlignment="1">
      <alignment horizontal="left" vertical="center"/>
    </xf>
    <xf numFmtId="0" fontId="6" fillId="9" borderId="141" xfId="0" applyFont="1" applyFill="1" applyBorder="1" applyAlignment="1">
      <alignment horizontal="left" vertical="center"/>
    </xf>
    <xf numFmtId="0" fontId="6" fillId="9" borderId="142" xfId="0" applyFont="1" applyFill="1" applyBorder="1" applyAlignment="1">
      <alignment horizontal="left" vertical="center"/>
    </xf>
    <xf numFmtId="0" fontId="6" fillId="9" borderId="143" xfId="0" applyFont="1" applyFill="1" applyBorder="1" applyAlignment="1">
      <alignment horizontal="left" vertical="center"/>
    </xf>
    <xf numFmtId="0" fontId="6" fillId="9" borderId="144" xfId="0" applyFont="1" applyFill="1" applyBorder="1" applyAlignment="1">
      <alignment horizontal="left" vertical="center"/>
    </xf>
    <xf numFmtId="0" fontId="6" fillId="9" borderId="145" xfId="0" applyFont="1" applyFill="1" applyBorder="1" applyAlignment="1">
      <alignment horizontal="left" vertical="center"/>
    </xf>
    <xf numFmtId="0" fontId="6" fillId="9" borderId="146" xfId="0" applyFont="1" applyFill="1" applyBorder="1" applyAlignment="1">
      <alignment horizontal="left" vertical="center"/>
    </xf>
    <xf numFmtId="0" fontId="6" fillId="9" borderId="147" xfId="0" applyFont="1" applyFill="1" applyBorder="1" applyAlignment="1">
      <alignment horizontal="left" vertical="center"/>
    </xf>
    <xf numFmtId="0" fontId="6" fillId="9" borderId="148" xfId="0" applyFont="1" applyFill="1" applyBorder="1" applyAlignment="1">
      <alignment horizontal="left" vertical="center"/>
    </xf>
    <xf numFmtId="0" fontId="6" fillId="9" borderId="149" xfId="0" applyFont="1" applyFill="1" applyBorder="1" applyAlignment="1">
      <alignment horizontal="center" vertical="center"/>
    </xf>
    <xf numFmtId="0" fontId="6" fillId="9" borderId="150" xfId="0" applyFont="1" applyFill="1" applyBorder="1" applyAlignment="1">
      <alignment horizontal="center" vertical="center"/>
    </xf>
    <xf numFmtId="0" fontId="6" fillId="9" borderId="151" xfId="0" applyFont="1" applyFill="1" applyBorder="1" applyAlignment="1">
      <alignment horizontal="center" vertical="center"/>
    </xf>
    <xf numFmtId="0" fontId="6" fillId="9" borderId="150" xfId="0" applyFont="1" applyFill="1" applyBorder="1" applyAlignment="1">
      <alignment horizontal="left" vertical="center"/>
    </xf>
    <xf numFmtId="0" fontId="6" fillId="9" borderId="152" xfId="0" applyFont="1" applyFill="1" applyBorder="1" applyAlignment="1">
      <alignment horizontal="left" vertical="center"/>
    </xf>
    <xf numFmtId="0" fontId="6" fillId="9" borderId="151" xfId="0" applyFont="1" applyFill="1" applyBorder="1" applyAlignment="1">
      <alignment horizontal="left" vertical="center"/>
    </xf>
    <xf numFmtId="0" fontId="6" fillId="9" borderId="156" xfId="0" applyFont="1" applyFill="1" applyBorder="1" applyAlignment="1">
      <alignment horizontal="left" vertical="center"/>
    </xf>
    <xf numFmtId="0" fontId="6" fillId="9" borderId="157" xfId="0" applyFont="1" applyFill="1" applyBorder="1" applyAlignment="1">
      <alignment horizontal="left" vertical="center"/>
    </xf>
    <xf numFmtId="0" fontId="6" fillId="9" borderId="158" xfId="0" applyFont="1" applyFill="1" applyBorder="1" applyAlignment="1">
      <alignment horizontal="left" vertical="center"/>
    </xf>
    <xf numFmtId="0" fontId="10" fillId="9" borderId="17" xfId="0" applyFont="1" applyFill="1" applyBorder="1" applyAlignment="1">
      <alignment vertical="center"/>
    </xf>
    <xf numFmtId="0" fontId="6" fillId="9" borderId="117" xfId="0" applyFont="1" applyFill="1" applyBorder="1" applyAlignment="1">
      <alignment horizontal="center" vertical="center"/>
    </xf>
    <xf numFmtId="0" fontId="6" fillId="9" borderId="159" xfId="0" applyFont="1" applyFill="1" applyBorder="1" applyAlignment="1">
      <alignment horizontal="center" vertical="center"/>
    </xf>
    <xf numFmtId="0" fontId="6" fillId="9" borderId="114" xfId="0" applyFont="1" applyFill="1" applyBorder="1" applyAlignment="1">
      <alignment horizontal="center" vertical="center" wrapText="1"/>
    </xf>
    <xf numFmtId="0" fontId="6" fillId="9" borderId="134" xfId="0" applyFont="1" applyFill="1" applyBorder="1" applyAlignment="1">
      <alignment horizontal="center" vertical="center" wrapText="1"/>
    </xf>
    <xf numFmtId="0" fontId="10" fillId="9" borderId="129" xfId="0" applyFont="1" applyFill="1" applyBorder="1" applyAlignment="1">
      <alignment horizontal="center"/>
    </xf>
    <xf numFmtId="0" fontId="10" fillId="9" borderId="85" xfId="0" applyFont="1" applyFill="1" applyBorder="1" applyAlignment="1">
      <alignment horizontal="center"/>
    </xf>
    <xf numFmtId="0" fontId="6" fillId="6" borderId="160" xfId="0" applyFont="1" applyFill="1" applyBorder="1" applyAlignment="1">
      <alignment vertical="center"/>
    </xf>
    <xf numFmtId="0" fontId="6" fillId="6" borderId="161" xfId="0" applyFont="1" applyFill="1" applyBorder="1" applyAlignment="1">
      <alignment vertical="center"/>
    </xf>
    <xf numFmtId="0" fontId="6" fillId="6" borderId="161" xfId="0" applyFont="1" applyFill="1" applyBorder="1" applyAlignment="1">
      <alignment horizontal="center" vertical="center"/>
    </xf>
    <xf numFmtId="0" fontId="6" fillId="6" borderId="162" xfId="0" applyFont="1" applyFill="1" applyBorder="1" applyAlignment="1">
      <alignment horizontal="center" vertical="center"/>
    </xf>
    <xf numFmtId="0" fontId="6" fillId="9" borderId="80" xfId="0" applyFont="1" applyFill="1" applyBorder="1"/>
    <xf numFmtId="0" fontId="6" fillId="9" borderId="172" xfId="0" applyFont="1" applyFill="1" applyBorder="1" applyAlignment="1">
      <alignment horizontal="center" vertical="center"/>
    </xf>
    <xf numFmtId="0" fontId="8" fillId="9" borderId="17" xfId="0" applyFont="1" applyFill="1" applyBorder="1"/>
    <xf numFmtId="0" fontId="6" fillId="9" borderId="17" xfId="0" applyFont="1" applyFill="1" applyBorder="1"/>
    <xf numFmtId="0" fontId="6" fillId="9" borderId="17" xfId="0" quotePrefix="1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1" fontId="6" fillId="9" borderId="17" xfId="0" applyNumberFormat="1" applyFont="1" applyFill="1" applyBorder="1"/>
    <xf numFmtId="0" fontId="6" fillId="9" borderId="186" xfId="0" applyFont="1" applyFill="1" applyBorder="1" applyAlignment="1">
      <alignment horizontal="center" vertical="center"/>
    </xf>
    <xf numFmtId="0" fontId="6" fillId="9" borderId="116" xfId="0" applyFont="1" applyFill="1" applyBorder="1" applyAlignment="1">
      <alignment horizontal="center"/>
    </xf>
    <xf numFmtId="0" fontId="6" fillId="9" borderId="187" xfId="0" applyFont="1" applyFill="1" applyBorder="1" applyAlignment="1">
      <alignment horizontal="center"/>
    </xf>
    <xf numFmtId="0" fontId="6" fillId="9" borderId="188" xfId="0" applyFont="1" applyFill="1" applyBorder="1" applyAlignment="1">
      <alignment horizontal="center" vertical="center"/>
    </xf>
    <xf numFmtId="0" fontId="6" fillId="9" borderId="189" xfId="0" applyFont="1" applyFill="1" applyBorder="1" applyAlignment="1">
      <alignment horizontal="center" vertical="center"/>
    </xf>
    <xf numFmtId="0" fontId="6" fillId="9" borderId="190" xfId="0" applyFont="1" applyFill="1" applyBorder="1" applyAlignment="1">
      <alignment horizontal="center" vertical="center" wrapText="1"/>
    </xf>
    <xf numFmtId="0" fontId="10" fillId="9" borderId="191" xfId="0" applyFont="1" applyFill="1" applyBorder="1" applyAlignment="1">
      <alignment horizontal="center"/>
    </xf>
    <xf numFmtId="0" fontId="10" fillId="9" borderId="135" xfId="0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/>
    </xf>
    <xf numFmtId="0" fontId="6" fillId="9" borderId="193" xfId="0" applyFont="1" applyFill="1" applyBorder="1" applyAlignment="1">
      <alignment horizontal="center" vertical="center"/>
    </xf>
    <xf numFmtId="0" fontId="6" fillId="9" borderId="194" xfId="0" applyFont="1" applyFill="1" applyBorder="1" applyAlignment="1">
      <alignment horizontal="center" vertical="center"/>
    </xf>
    <xf numFmtId="0" fontId="6" fillId="9" borderId="195" xfId="0" applyFont="1" applyFill="1" applyBorder="1" applyAlignment="1">
      <alignment horizontal="center" vertical="center"/>
    </xf>
    <xf numFmtId="0" fontId="6" fillId="9" borderId="196" xfId="0" applyFont="1" applyFill="1" applyBorder="1" applyAlignment="1">
      <alignment horizontal="center" vertical="center"/>
    </xf>
    <xf numFmtId="0" fontId="6" fillId="9" borderId="197" xfId="0" applyFont="1" applyFill="1" applyBorder="1" applyAlignment="1">
      <alignment horizontal="center" vertical="center"/>
    </xf>
    <xf numFmtId="0" fontId="6" fillId="9" borderId="198" xfId="0" applyFont="1" applyFill="1" applyBorder="1" applyAlignment="1">
      <alignment horizontal="center" vertical="center"/>
    </xf>
    <xf numFmtId="0" fontId="6" fillId="9" borderId="201" xfId="0" applyFont="1" applyFill="1" applyBorder="1" applyAlignment="1">
      <alignment horizontal="center" vertical="center"/>
    </xf>
    <xf numFmtId="0" fontId="6" fillId="9" borderId="203" xfId="0" applyFont="1" applyFill="1" applyBorder="1" applyAlignment="1">
      <alignment horizontal="center" vertical="center"/>
    </xf>
    <xf numFmtId="0" fontId="6" fillId="9" borderId="204" xfId="0" applyFont="1" applyFill="1" applyBorder="1" applyAlignment="1">
      <alignment horizontal="center" vertical="center"/>
    </xf>
    <xf numFmtId="0" fontId="6" fillId="9" borderId="196" xfId="0" applyFont="1" applyFill="1" applyBorder="1" applyAlignment="1">
      <alignment horizontal="center" vertical="center" wrapText="1"/>
    </xf>
    <xf numFmtId="0" fontId="10" fillId="9" borderId="198" xfId="0" applyFont="1" applyFill="1" applyBorder="1" applyAlignment="1">
      <alignment horizontal="center" vertical="center"/>
    </xf>
    <xf numFmtId="0" fontId="10" fillId="9" borderId="201" xfId="0" applyFont="1" applyFill="1" applyBorder="1" applyAlignment="1">
      <alignment horizontal="center" vertical="center"/>
    </xf>
    <xf numFmtId="0" fontId="6" fillId="9" borderId="205" xfId="0" applyFont="1" applyFill="1" applyBorder="1" applyAlignment="1">
      <alignment horizontal="center" vertical="center"/>
    </xf>
    <xf numFmtId="0" fontId="6" fillId="9" borderId="83" xfId="0" applyFont="1" applyFill="1" applyBorder="1" applyAlignment="1">
      <alignment horizontal="center" vertical="center" wrapText="1"/>
    </xf>
    <xf numFmtId="0" fontId="6" fillId="9" borderId="114" xfId="0" applyFont="1" applyFill="1" applyBorder="1" applyAlignment="1">
      <alignment horizontal="center"/>
    </xf>
    <xf numFmtId="0" fontId="6" fillId="9" borderId="206" xfId="0" applyFont="1" applyFill="1" applyBorder="1" applyAlignment="1">
      <alignment horizontal="center"/>
    </xf>
    <xf numFmtId="0" fontId="6" fillId="9" borderId="134" xfId="0" applyFont="1" applyFill="1" applyBorder="1" applyAlignment="1">
      <alignment horizontal="center"/>
    </xf>
    <xf numFmtId="0" fontId="6" fillId="9" borderId="191" xfId="0" applyFont="1" applyFill="1" applyBorder="1" applyAlignment="1">
      <alignment horizontal="center" vertical="center"/>
    </xf>
    <xf numFmtId="0" fontId="6" fillId="9" borderId="135" xfId="0" applyFont="1" applyFill="1" applyBorder="1" applyAlignment="1">
      <alignment horizontal="center" vertical="center"/>
    </xf>
    <xf numFmtId="0" fontId="6" fillId="9" borderId="207" xfId="0" applyFont="1" applyFill="1" applyBorder="1" applyAlignment="1">
      <alignment horizontal="left" vertical="center"/>
    </xf>
    <xf numFmtId="0" fontId="6" fillId="9" borderId="208" xfId="0" applyFont="1" applyFill="1" applyBorder="1" applyAlignment="1">
      <alignment horizontal="left" vertical="center"/>
    </xf>
    <xf numFmtId="0" fontId="6" fillId="9" borderId="209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41" xfId="0" applyFont="1" applyFill="1" applyBorder="1" applyAlignment="1">
      <alignment horizontal="center" vertical="center"/>
    </xf>
    <xf numFmtId="0" fontId="6" fillId="9" borderId="210" xfId="0" applyFont="1" applyFill="1" applyBorder="1" applyAlignment="1">
      <alignment horizontal="left" vertical="center"/>
    </xf>
    <xf numFmtId="0" fontId="6" fillId="9" borderId="211" xfId="0" applyFont="1" applyFill="1" applyBorder="1" applyAlignment="1">
      <alignment horizontal="left" vertical="center"/>
    </xf>
    <xf numFmtId="0" fontId="6" fillId="9" borderId="212" xfId="0" applyFont="1" applyFill="1" applyBorder="1" applyAlignment="1">
      <alignment horizontal="left" vertical="center"/>
    </xf>
    <xf numFmtId="0" fontId="6" fillId="9" borderId="213" xfId="0" applyFont="1" applyFill="1" applyBorder="1" applyAlignment="1">
      <alignment horizontal="left" vertical="center"/>
    </xf>
    <xf numFmtId="0" fontId="6" fillId="9" borderId="217" xfId="0" applyFont="1" applyFill="1" applyBorder="1" applyAlignment="1">
      <alignment horizontal="left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06" xfId="0" applyFont="1" applyFill="1" applyBorder="1" applyAlignment="1">
      <alignment horizontal="center" vertical="center"/>
    </xf>
    <xf numFmtId="0" fontId="6" fillId="9" borderId="191" xfId="0" applyFont="1" applyFill="1" applyBorder="1" applyAlignment="1">
      <alignment horizontal="center"/>
    </xf>
    <xf numFmtId="0" fontId="6" fillId="9" borderId="85" xfId="0" applyFont="1" applyFill="1" applyBorder="1" applyAlignment="1">
      <alignment horizontal="center"/>
    </xf>
    <xf numFmtId="0" fontId="6" fillId="9" borderId="195" xfId="0" applyFont="1" applyFill="1" applyBorder="1" applyAlignment="1">
      <alignment horizontal="center"/>
    </xf>
    <xf numFmtId="0" fontId="6" fillId="9" borderId="196" xfId="0" applyFont="1" applyFill="1" applyBorder="1" applyAlignment="1">
      <alignment horizontal="center"/>
    </xf>
    <xf numFmtId="0" fontId="6" fillId="9" borderId="197" xfId="0" applyFont="1" applyFill="1" applyBorder="1" applyAlignment="1">
      <alignment horizontal="center"/>
    </xf>
    <xf numFmtId="0" fontId="6" fillId="9" borderId="19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4" fillId="6" borderId="231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14" fillId="6" borderId="232" xfId="0" applyFont="1" applyFill="1" applyBorder="1" applyAlignment="1">
      <alignment horizontal="center" vertical="center"/>
    </xf>
    <xf numFmtId="0" fontId="10" fillId="9" borderId="90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40" xfId="0" applyFont="1" applyFill="1" applyBorder="1" applyAlignment="1">
      <alignment horizontal="left" vertical="center"/>
    </xf>
    <xf numFmtId="0" fontId="10" fillId="9" borderId="142" xfId="0" applyFont="1" applyFill="1" applyBorder="1" applyAlignment="1">
      <alignment horizontal="left" vertical="center"/>
    </xf>
    <xf numFmtId="0" fontId="0" fillId="8" borderId="6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left" vertical="center"/>
    </xf>
    <xf numFmtId="0" fontId="10" fillId="9" borderId="137" xfId="0" applyFont="1" applyFill="1" applyBorder="1" applyAlignment="1">
      <alignment horizontal="left" vertical="center"/>
    </xf>
    <xf numFmtId="0" fontId="10" fillId="9" borderId="139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6" borderId="235" xfId="0" applyFont="1" applyFill="1" applyBorder="1" applyAlignment="1">
      <alignment horizontal="center" vertical="center"/>
    </xf>
    <xf numFmtId="0" fontId="10" fillId="9" borderId="71" xfId="0" applyFont="1" applyFill="1" applyBorder="1" applyAlignment="1">
      <alignment horizontal="center" vertical="center"/>
    </xf>
    <xf numFmtId="0" fontId="10" fillId="9" borderId="138" xfId="0" applyFont="1" applyFill="1" applyBorder="1" applyAlignment="1">
      <alignment horizontal="left" vertical="center"/>
    </xf>
    <xf numFmtId="0" fontId="10" fillId="9" borderId="141" xfId="0" applyFont="1" applyFill="1" applyBorder="1" applyAlignment="1">
      <alignment horizontal="left" vertical="center"/>
    </xf>
    <xf numFmtId="0" fontId="1" fillId="1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vertical="center"/>
    </xf>
    <xf numFmtId="0" fontId="13" fillId="8" borderId="6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4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0" fillId="3" borderId="2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6" fillId="6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textRotation="90"/>
    </xf>
    <xf numFmtId="0" fontId="2" fillId="0" borderId="7" xfId="0" applyFont="1" applyBorder="1"/>
    <xf numFmtId="0" fontId="2" fillId="0" borderId="49" xfId="0" applyFont="1" applyBorder="1"/>
    <xf numFmtId="0" fontId="12" fillId="9" borderId="1" xfId="0" applyFont="1" applyFill="1" applyBorder="1" applyAlignment="1">
      <alignment horizontal="center" vertical="center" textRotation="90" wrapText="1"/>
    </xf>
    <xf numFmtId="0" fontId="12" fillId="9" borderId="164" xfId="0" applyFont="1" applyFill="1" applyBorder="1" applyAlignment="1">
      <alignment horizontal="center" vertical="center" textRotation="90"/>
    </xf>
    <xf numFmtId="0" fontId="2" fillId="0" borderId="166" xfId="0" applyFont="1" applyBorder="1"/>
    <xf numFmtId="0" fontId="2" fillId="0" borderId="50" xfId="0" applyFont="1" applyBorder="1"/>
    <xf numFmtId="0" fontId="10" fillId="9" borderId="119" xfId="0" applyFont="1" applyFill="1" applyBorder="1" applyAlignment="1">
      <alignment horizontal="center" vertical="center"/>
    </xf>
    <xf numFmtId="0" fontId="2" fillId="0" borderId="113" xfId="0" applyFont="1" applyBorder="1"/>
    <xf numFmtId="0" fontId="10" fillId="9" borderId="136" xfId="0" applyFont="1" applyFill="1" applyBorder="1" applyAlignment="1">
      <alignment horizontal="center" vertical="center"/>
    </xf>
    <xf numFmtId="0" fontId="2" fillId="0" borderId="132" xfId="0" applyFont="1" applyBorder="1"/>
    <xf numFmtId="0" fontId="10" fillId="9" borderId="86" xfId="0" applyFont="1" applyFill="1" applyBorder="1" applyAlignment="1">
      <alignment horizontal="center" vertical="center"/>
    </xf>
    <xf numFmtId="0" fontId="2" fillId="0" borderId="79" xfId="0" applyFont="1" applyBorder="1"/>
    <xf numFmtId="0" fontId="6" fillId="6" borderId="78" xfId="0" applyFont="1" applyFill="1" applyBorder="1" applyAlignment="1">
      <alignment horizontal="center" vertical="center"/>
    </xf>
    <xf numFmtId="0" fontId="2" fillId="0" borderId="94" xfId="0" applyFont="1" applyBorder="1"/>
    <xf numFmtId="0" fontId="2" fillId="0" borderId="99" xfId="0" applyFont="1" applyBorder="1"/>
    <xf numFmtId="0" fontId="10" fillId="10" borderId="98" xfId="0" applyFont="1" applyFill="1" applyBorder="1" applyAlignment="1">
      <alignment horizontal="center" vertical="center"/>
    </xf>
    <xf numFmtId="0" fontId="10" fillId="9" borderId="130" xfId="0" applyFont="1" applyFill="1" applyBorder="1" applyAlignment="1">
      <alignment horizontal="center" vertical="center"/>
    </xf>
    <xf numFmtId="0" fontId="2" fillId="0" borderId="127" xfId="0" applyFont="1" applyBorder="1"/>
    <xf numFmtId="0" fontId="6" fillId="6" borderId="163" xfId="0" applyFont="1" applyFill="1" applyBorder="1" applyAlignment="1">
      <alignment horizontal="center" vertical="center"/>
    </xf>
    <xf numFmtId="0" fontId="2" fillId="0" borderId="45" xfId="0" applyFont="1" applyBorder="1"/>
    <xf numFmtId="0" fontId="2" fillId="0" borderId="46" xfId="0" applyFont="1" applyBorder="1"/>
    <xf numFmtId="0" fontId="2" fillId="0" borderId="165" xfId="0" applyFont="1" applyBorder="1"/>
    <xf numFmtId="0" fontId="0" fillId="0" borderId="0" xfId="0" applyFont="1" applyAlignment="1"/>
    <xf numFmtId="0" fontId="2" fillId="0" borderId="43" xfId="0" applyFont="1" applyBorder="1"/>
    <xf numFmtId="0" fontId="2" fillId="0" borderId="167" xfId="0" applyFont="1" applyBorder="1"/>
    <xf numFmtId="0" fontId="2" fillId="0" borderId="22" xfId="0" applyFont="1" applyBorder="1"/>
    <xf numFmtId="0" fontId="2" fillId="0" borderId="168" xfId="0" applyFont="1" applyBorder="1"/>
    <xf numFmtId="0" fontId="6" fillId="9" borderId="78" xfId="0" applyFont="1" applyFill="1" applyBorder="1" applyAlignment="1">
      <alignment horizontal="center" vertical="center"/>
    </xf>
    <xf numFmtId="0" fontId="6" fillId="9" borderId="202" xfId="0" applyFont="1" applyFill="1" applyBorder="1" applyAlignment="1">
      <alignment horizontal="center" vertical="center"/>
    </xf>
    <xf numFmtId="0" fontId="2" fillId="0" borderId="200" xfId="0" applyFont="1" applyBorder="1"/>
    <xf numFmtId="0" fontId="2" fillId="0" borderId="95" xfId="0" applyFont="1" applyBorder="1"/>
    <xf numFmtId="0" fontId="10" fillId="9" borderId="199" xfId="0" applyFont="1" applyFill="1" applyBorder="1" applyAlignment="1">
      <alignment horizontal="center" vertical="center"/>
    </xf>
    <xf numFmtId="0" fontId="6" fillId="9" borderId="176" xfId="0" applyFont="1" applyFill="1" applyBorder="1" applyAlignment="1">
      <alignment horizontal="center" vertical="center"/>
    </xf>
    <xf numFmtId="0" fontId="6" fillId="6" borderId="176" xfId="0" applyFont="1" applyFill="1" applyBorder="1" applyAlignment="1">
      <alignment horizontal="left" vertical="center"/>
    </xf>
    <xf numFmtId="0" fontId="6" fillId="9" borderId="112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9" borderId="131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left" wrapText="1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0" fontId="2" fillId="0" borderId="184" xfId="0" applyFont="1" applyBorder="1"/>
    <xf numFmtId="0" fontId="6" fillId="9" borderId="176" xfId="0" applyFont="1" applyFill="1" applyBorder="1" applyAlignment="1">
      <alignment horizontal="center" vertical="center" textRotation="90"/>
    </xf>
    <xf numFmtId="0" fontId="6" fillId="9" borderId="177" xfId="0" applyFont="1" applyFill="1" applyBorder="1" applyAlignment="1">
      <alignment horizontal="center" vertical="center" textRotation="90"/>
    </xf>
    <xf numFmtId="0" fontId="2" fillId="0" borderId="185" xfId="0" applyFont="1" applyBorder="1"/>
    <xf numFmtId="0" fontId="6" fillId="9" borderId="163" xfId="0" applyFont="1" applyFill="1" applyBorder="1" applyAlignment="1">
      <alignment horizontal="center" vertical="center"/>
    </xf>
    <xf numFmtId="0" fontId="2" fillId="0" borderId="178" xfId="0" applyFont="1" applyBorder="1"/>
    <xf numFmtId="0" fontId="2" fillId="0" borderId="179" xfId="0" applyFont="1" applyBorder="1"/>
    <xf numFmtId="0" fontId="2" fillId="0" borderId="180" xfId="0" applyFont="1" applyBorder="1"/>
    <xf numFmtId="0" fontId="2" fillId="0" borderId="181" xfId="0" applyFont="1" applyBorder="1"/>
    <xf numFmtId="0" fontId="2" fillId="0" borderId="182" xfId="0" applyFont="1" applyBorder="1"/>
    <xf numFmtId="0" fontId="2" fillId="0" borderId="183" xfId="0" applyFont="1" applyBorder="1"/>
    <xf numFmtId="0" fontId="6" fillId="9" borderId="229" xfId="0" applyFont="1" applyFill="1" applyBorder="1" applyAlignment="1">
      <alignment horizontal="center" vertical="center"/>
    </xf>
    <xf numFmtId="0" fontId="2" fillId="0" borderId="223" xfId="0" applyFont="1" applyBorder="1"/>
    <xf numFmtId="0" fontId="6" fillId="9" borderId="72" xfId="0" applyFont="1" applyFill="1" applyBorder="1" applyAlignment="1">
      <alignment horizontal="center" vertical="center"/>
    </xf>
    <xf numFmtId="0" fontId="2" fillId="0" borderId="73" xfId="0" applyFont="1" applyBorder="1"/>
    <xf numFmtId="0" fontId="6" fillId="9" borderId="2" xfId="0" applyFont="1" applyFill="1" applyBorder="1" applyAlignment="1">
      <alignment horizontal="center" vertical="center"/>
    </xf>
    <xf numFmtId="0" fontId="6" fillId="9" borderId="101" xfId="0" applyFont="1" applyFill="1" applyBorder="1" applyAlignment="1">
      <alignment horizontal="center" vertical="center"/>
    </xf>
    <xf numFmtId="0" fontId="2" fillId="0" borderId="102" xfId="0" applyFont="1" applyBorder="1"/>
    <xf numFmtId="0" fontId="6" fillId="9" borderId="104" xfId="0" applyFont="1" applyFill="1" applyBorder="1" applyAlignment="1">
      <alignment horizontal="center" vertical="center"/>
    </xf>
    <xf numFmtId="0" fontId="2" fillId="0" borderId="105" xfId="0" applyFont="1" applyBorder="1"/>
    <xf numFmtId="0" fontId="6" fillId="6" borderId="176" xfId="0" applyFont="1" applyFill="1" applyBorder="1" applyAlignment="1">
      <alignment horizontal="center" vertical="center"/>
    </xf>
    <xf numFmtId="0" fontId="6" fillId="6" borderId="169" xfId="0" applyFont="1" applyFill="1" applyBorder="1" applyAlignment="1">
      <alignment horizontal="center" vertical="center"/>
    </xf>
    <xf numFmtId="0" fontId="2" fillId="0" borderId="170" xfId="0" applyFont="1" applyBorder="1"/>
    <xf numFmtId="0" fontId="2" fillId="0" borderId="171" xfId="0" applyFont="1" applyBorder="1"/>
    <xf numFmtId="0" fontId="6" fillId="9" borderId="173" xfId="0" applyFont="1" applyFill="1" applyBorder="1" applyAlignment="1">
      <alignment horizontal="center" vertical="center"/>
    </xf>
    <xf numFmtId="0" fontId="2" fillId="0" borderId="174" xfId="0" applyFont="1" applyBorder="1"/>
    <xf numFmtId="0" fontId="2" fillId="0" borderId="175" xfId="0" applyFont="1" applyBorder="1"/>
    <xf numFmtId="0" fontId="6" fillId="0" borderId="124" xfId="0" applyFont="1" applyBorder="1" applyAlignment="1">
      <alignment horizontal="center" vertical="center" textRotation="90"/>
    </xf>
    <xf numFmtId="0" fontId="2" fillId="0" borderId="41" xfId="0" applyFont="1" applyBorder="1"/>
    <xf numFmtId="0" fontId="2" fillId="0" borderId="111" xfId="0" applyFont="1" applyBorder="1"/>
    <xf numFmtId="0" fontId="6" fillId="9" borderId="124" xfId="0" applyFont="1" applyFill="1" applyBorder="1" applyAlignment="1">
      <alignment horizontal="center" vertical="center" textRotation="90"/>
    </xf>
    <xf numFmtId="0" fontId="2" fillId="0" borderId="192" xfId="0" applyFont="1" applyBorder="1"/>
    <xf numFmtId="0" fontId="8" fillId="6" borderId="29" xfId="0" applyFont="1" applyFill="1" applyBorder="1" applyAlignment="1">
      <alignment horizontal="center" vertical="center"/>
    </xf>
    <xf numFmtId="0" fontId="2" fillId="0" borderId="48" xfId="0" applyFont="1" applyBorder="1"/>
    <xf numFmtId="0" fontId="8" fillId="6" borderId="34" xfId="0" applyFont="1" applyFill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textRotation="90"/>
    </xf>
    <xf numFmtId="0" fontId="6" fillId="6" borderId="96" xfId="0" applyFont="1" applyFill="1" applyBorder="1" applyAlignment="1">
      <alignment horizontal="center" vertical="center"/>
    </xf>
    <xf numFmtId="0" fontId="2" fillId="0" borderId="97" xfId="0" applyFont="1" applyBorder="1"/>
    <xf numFmtId="0" fontId="6" fillId="9" borderId="98" xfId="0" applyFont="1" applyFill="1" applyBorder="1" applyAlignment="1">
      <alignment horizontal="center" vertical="center"/>
    </xf>
    <xf numFmtId="0" fontId="6" fillId="9" borderId="86" xfId="0" applyFont="1" applyFill="1" applyBorder="1" applyAlignment="1">
      <alignment horizontal="center" vertical="center"/>
    </xf>
    <xf numFmtId="0" fontId="6" fillId="9" borderId="199" xfId="0" applyFont="1" applyFill="1" applyBorder="1" applyAlignment="1">
      <alignment horizontal="center" vertical="center"/>
    </xf>
    <xf numFmtId="0" fontId="6" fillId="9" borderId="119" xfId="0" applyFont="1" applyFill="1" applyBorder="1" applyAlignment="1">
      <alignment horizontal="center" vertical="center"/>
    </xf>
    <xf numFmtId="0" fontId="6" fillId="9" borderId="130" xfId="0" applyFont="1" applyFill="1" applyBorder="1" applyAlignment="1">
      <alignment horizontal="center" vertical="center"/>
    </xf>
    <xf numFmtId="0" fontId="6" fillId="6" borderId="98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9" borderId="218" xfId="0" applyFont="1" applyFill="1" applyBorder="1" applyAlignment="1">
      <alignment horizontal="center" vertical="center"/>
    </xf>
    <xf numFmtId="0" fontId="2" fillId="0" borderId="219" xfId="0" applyFont="1" applyBorder="1"/>
    <xf numFmtId="0" fontId="6" fillId="9" borderId="214" xfId="0" applyFont="1" applyFill="1" applyBorder="1" applyAlignment="1">
      <alignment horizontal="center" vertical="center"/>
    </xf>
    <xf numFmtId="0" fontId="2" fillId="0" borderId="215" xfId="0" applyFont="1" applyBorder="1"/>
    <xf numFmtId="0" fontId="10" fillId="10" borderId="70" xfId="0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69" xfId="0" applyFont="1" applyBorder="1"/>
    <xf numFmtId="0" fontId="6" fillId="9" borderId="72" xfId="0" applyFont="1" applyFill="1" applyBorder="1" applyAlignment="1">
      <alignment horizontal="left" vertical="center"/>
    </xf>
    <xf numFmtId="0" fontId="2" fillId="0" borderId="74" xfId="0" applyFont="1" applyBorder="1"/>
    <xf numFmtId="0" fontId="6" fillId="9" borderId="39" xfId="0" applyFont="1" applyFill="1" applyBorder="1" applyAlignment="1">
      <alignment horizontal="center" vertical="center"/>
    </xf>
    <xf numFmtId="0" fontId="2" fillId="0" borderId="37" xfId="0" applyFont="1" applyBorder="1"/>
    <xf numFmtId="0" fontId="2" fillId="0" borderId="38" xfId="0" applyFont="1" applyBorder="1"/>
    <xf numFmtId="0" fontId="2" fillId="0" borderId="216" xfId="0" applyFont="1" applyBorder="1"/>
    <xf numFmtId="0" fontId="2" fillId="0" borderId="103" xfId="0" applyFont="1" applyBorder="1"/>
    <xf numFmtId="0" fontId="6" fillId="9" borderId="107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9" xfId="0" applyFont="1" applyBorder="1"/>
    <xf numFmtId="0" fontId="8" fillId="6" borderId="36" xfId="0" applyFont="1" applyFill="1" applyBorder="1" applyAlignment="1">
      <alignment horizontal="center" vertical="center" wrapText="1"/>
    </xf>
    <xf numFmtId="0" fontId="8" fillId="6" borderId="39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42" xfId="0" applyFont="1" applyBorder="1"/>
    <xf numFmtId="0" fontId="2" fillId="0" borderId="59" xfId="0" applyFont="1" applyBorder="1"/>
    <xf numFmtId="0" fontId="2" fillId="0" borderId="60" xfId="0" applyFont="1" applyBorder="1"/>
    <xf numFmtId="0" fontId="2" fillId="0" borderId="32" xfId="0" applyFont="1" applyBorder="1"/>
    <xf numFmtId="0" fontId="2" fillId="0" borderId="61" xfId="0" applyFont="1" applyBorder="1"/>
    <xf numFmtId="0" fontId="8" fillId="10" borderId="36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8" fillId="6" borderId="44" xfId="0" applyFont="1" applyFill="1" applyBorder="1" applyAlignment="1">
      <alignment horizontal="center" vertical="center" wrapText="1"/>
    </xf>
    <xf numFmtId="0" fontId="8" fillId="6" borderId="44" xfId="0" applyFont="1" applyFill="1" applyBorder="1" applyAlignment="1">
      <alignment horizontal="center" vertical="center"/>
    </xf>
    <xf numFmtId="0" fontId="2" fillId="0" borderId="47" xfId="0" applyFont="1" applyBorder="1"/>
    <xf numFmtId="0" fontId="2" fillId="0" borderId="62" xfId="0" applyFont="1" applyBorder="1"/>
    <xf numFmtId="0" fontId="8" fillId="6" borderId="51" xfId="0" applyFont="1" applyFill="1" applyBorder="1" applyAlignment="1">
      <alignment horizontal="center" vertical="center" wrapText="1"/>
    </xf>
    <xf numFmtId="0" fontId="2" fillId="0" borderId="52" xfId="0" applyFont="1" applyBorder="1"/>
    <xf numFmtId="0" fontId="8" fillId="6" borderId="56" xfId="0" applyFont="1" applyFill="1" applyBorder="1" applyAlignment="1">
      <alignment horizontal="center" vertical="center" wrapText="1"/>
    </xf>
    <xf numFmtId="0" fontId="8" fillId="10" borderId="56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6" fillId="9" borderId="153" xfId="0" applyFont="1" applyFill="1" applyBorder="1" applyAlignment="1">
      <alignment horizontal="center" vertical="center"/>
    </xf>
    <xf numFmtId="0" fontId="2" fillId="0" borderId="154" xfId="0" applyFont="1" applyBorder="1"/>
    <xf numFmtId="0" fontId="2" fillId="0" borderId="155" xfId="0" applyFont="1" applyBorder="1"/>
    <xf numFmtId="0" fontId="6" fillId="9" borderId="136" xfId="0" applyFont="1" applyFill="1" applyBorder="1" applyAlignment="1">
      <alignment horizontal="center" vertical="center"/>
    </xf>
    <xf numFmtId="0" fontId="2" fillId="0" borderId="93" xfId="0" applyFont="1" applyBorder="1"/>
    <xf numFmtId="0" fontId="6" fillId="9" borderId="39" xfId="0" applyFont="1" applyFill="1" applyBorder="1" applyAlignment="1">
      <alignment horizontal="left" vertical="center"/>
    </xf>
    <xf numFmtId="0" fontId="6" fillId="9" borderId="104" xfId="0" applyFont="1" applyFill="1" applyBorder="1" applyAlignment="1">
      <alignment horizontal="left" vertical="center"/>
    </xf>
    <xf numFmtId="0" fontId="2" fillId="0" borderId="106" xfId="0" applyFont="1" applyBorder="1"/>
    <xf numFmtId="0" fontId="9" fillId="6" borderId="24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 wrapText="1"/>
    </xf>
    <xf numFmtId="0" fontId="11" fillId="9" borderId="72" xfId="0" applyFont="1" applyFill="1" applyBorder="1" applyAlignment="1">
      <alignment horizontal="left" vertical="center"/>
    </xf>
    <xf numFmtId="0" fontId="10" fillId="9" borderId="72" xfId="0" applyFont="1" applyFill="1" applyBorder="1" applyAlignment="1">
      <alignment horizontal="center" vertical="center"/>
    </xf>
    <xf numFmtId="0" fontId="2" fillId="0" borderId="75" xfId="0" applyFont="1" applyBorder="1"/>
    <xf numFmtId="0" fontId="6" fillId="9" borderId="107" xfId="0" applyFont="1" applyFill="1" applyBorder="1" applyAlignment="1">
      <alignment horizontal="left" vertical="center"/>
    </xf>
    <xf numFmtId="0" fontId="2" fillId="0" borderId="110" xfId="0" applyFont="1" applyBorder="1"/>
    <xf numFmtId="0" fontId="6" fillId="9" borderId="96" xfId="0" applyFont="1" applyFill="1" applyBorder="1" applyAlignment="1">
      <alignment horizontal="center" vertical="center"/>
    </xf>
    <xf numFmtId="0" fontId="6" fillId="6" borderId="65" xfId="0" applyFont="1" applyFill="1" applyBorder="1" applyAlignment="1">
      <alignment horizontal="center" vertical="center"/>
    </xf>
    <xf numFmtId="0" fontId="2" fillId="0" borderId="67" xfId="0" applyFont="1" applyBorder="1"/>
    <xf numFmtId="0" fontId="6" fillId="9" borderId="101" xfId="0" applyFont="1" applyFill="1" applyBorder="1" applyAlignment="1">
      <alignment horizontal="left" vertical="center"/>
    </xf>
    <xf numFmtId="0" fontId="6" fillId="9" borderId="78" xfId="0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 vertical="center"/>
    </xf>
    <xf numFmtId="0" fontId="2" fillId="0" borderId="220" xfId="0" applyFont="1" applyBorder="1"/>
    <xf numFmtId="0" fontId="6" fillId="9" borderId="221" xfId="0" applyFont="1" applyFill="1" applyBorder="1" applyAlignment="1">
      <alignment horizontal="center" vertical="center"/>
    </xf>
    <xf numFmtId="0" fontId="6" fillId="9" borderId="228" xfId="0" applyFont="1" applyFill="1" applyBorder="1" applyAlignment="1">
      <alignment horizontal="center" vertical="center"/>
    </xf>
    <xf numFmtId="0" fontId="6" fillId="9" borderId="225" xfId="0" applyFont="1" applyFill="1" applyBorder="1" applyAlignment="1">
      <alignment horizontal="center" vertical="center"/>
    </xf>
    <xf numFmtId="0" fontId="2" fillId="0" borderId="226" xfId="0" applyFont="1" applyBorder="1"/>
    <xf numFmtId="0" fontId="2" fillId="0" borderId="227" xfId="0" applyFont="1" applyBorder="1"/>
    <xf numFmtId="0" fontId="6" fillId="9" borderId="228" xfId="0" applyFont="1" applyFill="1" applyBorder="1" applyAlignment="1">
      <alignment horizontal="left" vertical="center"/>
    </xf>
    <xf numFmtId="0" fontId="6" fillId="9" borderId="222" xfId="0" applyFont="1" applyFill="1" applyBorder="1" applyAlignment="1">
      <alignment horizontal="center" vertical="center"/>
    </xf>
    <xf numFmtId="0" fontId="2" fillId="0" borderId="224" xfId="0" applyFont="1" applyBorder="1"/>
    <xf numFmtId="0" fontId="10" fillId="9" borderId="2" xfId="0" applyFont="1" applyFill="1" applyBorder="1" applyAlignment="1">
      <alignment horizontal="left" vertical="center"/>
    </xf>
    <xf numFmtId="0" fontId="10" fillId="9" borderId="124" xfId="0" applyFont="1" applyFill="1" applyBorder="1" applyAlignment="1">
      <alignment horizontal="center" vertical="center"/>
    </xf>
    <xf numFmtId="1" fontId="10" fillId="9" borderId="124" xfId="0" applyNumberFormat="1" applyFont="1" applyFill="1" applyBorder="1" applyAlignment="1">
      <alignment horizontal="center" vertical="center"/>
    </xf>
    <xf numFmtId="0" fontId="10" fillId="9" borderId="44" xfId="0" applyFont="1" applyFill="1" applyBorder="1" applyAlignment="1">
      <alignment horizontal="center" vertical="center"/>
    </xf>
    <xf numFmtId="0" fontId="2" fillId="0" borderId="233" xfId="0" applyFont="1" applyBorder="1"/>
    <xf numFmtId="0" fontId="10" fillId="9" borderId="44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236" xfId="0" applyFont="1" applyFill="1" applyBorder="1" applyAlignment="1">
      <alignment horizontal="left" vertical="center"/>
    </xf>
    <xf numFmtId="0" fontId="2" fillId="0" borderId="237" xfId="0" applyFont="1" applyBorder="1"/>
    <xf numFmtId="0" fontId="2" fillId="0" borderId="238" xfId="0" applyFont="1" applyBorder="1"/>
    <xf numFmtId="0" fontId="10" fillId="9" borderId="104" xfId="0" applyFont="1" applyFill="1" applyBorder="1" applyAlignment="1">
      <alignment horizontal="left" vertical="center"/>
    </xf>
    <xf numFmtId="0" fontId="2" fillId="0" borderId="234" xfId="0" applyFont="1" applyBorder="1"/>
    <xf numFmtId="0" fontId="10" fillId="9" borderId="72" xfId="0" applyFont="1" applyFill="1" applyBorder="1" applyAlignment="1">
      <alignment horizontal="left" vertical="center"/>
    </xf>
    <xf numFmtId="0" fontId="10" fillId="9" borderId="39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2" fillId="0" borderId="230" xfId="0" applyFont="1" applyBorder="1"/>
    <xf numFmtId="0" fontId="13" fillId="13" borderId="1" xfId="0" applyFont="1" applyFill="1" applyBorder="1" applyAlignment="1">
      <alignment horizontal="center" vertical="center" textRotation="90"/>
    </xf>
    <xf numFmtId="0" fontId="1" fillId="12" borderId="2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 wrapText="1"/>
    </xf>
    <xf numFmtId="0" fontId="14" fillId="6" borderId="4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76200</xdr:rowOff>
    </xdr:from>
    <xdr:ext cx="4724400" cy="66675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pSpPr/>
      </xdr:nvGrpSpPr>
      <xdr:grpSpPr>
        <a:xfrm>
          <a:off x="38100" y="76200"/>
          <a:ext cx="4724400" cy="666750"/>
          <a:chOff x="2983800" y="3446625"/>
          <a:chExt cx="4724400" cy="6667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xmlns="" id="{00000000-0008-0000-0700-000003000000}"/>
              </a:ext>
            </a:extLst>
          </xdr:cNvPr>
          <xdr:cNvGrpSpPr/>
        </xdr:nvGrpSpPr>
        <xdr:grpSpPr>
          <a:xfrm>
            <a:off x="2983800" y="3446625"/>
            <a:ext cx="4724400" cy="666750"/>
            <a:chOff x="28575" y="1"/>
            <a:chExt cx="4222751" cy="6667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700-000004000000}"/>
                </a:ext>
              </a:extLst>
            </xdr:cNvPr>
            <xdr:cNvSpPr/>
          </xdr:nvSpPr>
          <xdr:spPr>
            <a:xfrm>
              <a:off x="28575" y="1"/>
              <a:ext cx="422275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xmlns="" id="{00000000-0008-0000-0700-000005000000}"/>
                </a:ext>
              </a:extLst>
            </xdr:cNvPr>
            <xdr:cNvSpPr txBox="1"/>
          </xdr:nvSpPr>
          <xdr:spPr>
            <a:xfrm>
              <a:off x="618491" y="1"/>
              <a:ext cx="3632835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SMK BAKTI NUSANTARA 666</a:t>
              </a:r>
              <a:endParaRPr sz="10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Jl. Percobaan No.65 KM.17,1 Desa Cimekar kecamatan Cileunyi 40623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Telp/Fax. 02263730220 NPSN : 20267919 NSS : 402020835076</a:t>
              </a:r>
              <a:endParaRPr sz="10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xmlns="" id="{00000000-0008-0000-07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8575" y="54404"/>
              <a:ext cx="633224" cy="5579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70</xdr:row>
      <xdr:rowOff>76200</xdr:rowOff>
    </xdr:from>
    <xdr:ext cx="4724400" cy="66675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GrpSpPr/>
      </xdr:nvGrpSpPr>
      <xdr:grpSpPr>
        <a:xfrm>
          <a:off x="38100" y="13703300"/>
          <a:ext cx="4724400" cy="666750"/>
          <a:chOff x="2983800" y="3446625"/>
          <a:chExt cx="4724400" cy="666750"/>
        </a:xfrm>
      </xdr:grpSpPr>
      <xdr:grpSp>
        <xdr:nvGrpSpPr>
          <xdr:cNvPr id="8" name="Shape 7">
            <a:extLst>
              <a:ext uri="{FF2B5EF4-FFF2-40B4-BE49-F238E27FC236}">
                <a16:creationId xmlns:a16="http://schemas.microsoft.com/office/drawing/2014/main" xmlns="" id="{00000000-0008-0000-0700-000008000000}"/>
              </a:ext>
            </a:extLst>
          </xdr:cNvPr>
          <xdr:cNvGrpSpPr/>
        </xdr:nvGrpSpPr>
        <xdr:grpSpPr>
          <a:xfrm>
            <a:off x="2983800" y="3446625"/>
            <a:ext cx="4724400" cy="666750"/>
            <a:chOff x="28575" y="1"/>
            <a:chExt cx="4222751" cy="66675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700-000009000000}"/>
                </a:ext>
              </a:extLst>
            </xdr:cNvPr>
            <xdr:cNvSpPr/>
          </xdr:nvSpPr>
          <xdr:spPr>
            <a:xfrm>
              <a:off x="28575" y="1"/>
              <a:ext cx="422275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8">
              <a:extLst>
                <a:ext uri="{FF2B5EF4-FFF2-40B4-BE49-F238E27FC236}">
                  <a16:creationId xmlns:a16="http://schemas.microsoft.com/office/drawing/2014/main" xmlns="" id="{00000000-0008-0000-0700-00000A000000}"/>
                </a:ext>
              </a:extLst>
            </xdr:cNvPr>
            <xdr:cNvSpPr txBox="1"/>
          </xdr:nvSpPr>
          <xdr:spPr>
            <a:xfrm>
              <a:off x="618491" y="1"/>
              <a:ext cx="3632835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PEMERINTAH KOTA BONTANG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DINAS PENDIDIKAN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SMK NEGERI  I  BONTANG</a:t>
              </a:r>
              <a:endParaRPr sz="8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Jl. Ciptomangkusumo No. 2  Bontang  75313 Telp. 0548 22490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Fax. 0548 26372, e-mail; smkn1bontang@gmail.com</a:t>
              </a: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1" name="Shape 9" descr="logo BARU SMKN 1.png">
              <a:extLst>
                <a:ext uri="{FF2B5EF4-FFF2-40B4-BE49-F238E27FC236}">
                  <a16:creationId xmlns:a16="http://schemas.microsoft.com/office/drawing/2014/main" xmlns="" id="{00000000-0008-0000-07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8575" y="28575"/>
              <a:ext cx="633224" cy="609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140</xdr:row>
      <xdr:rowOff>76200</xdr:rowOff>
    </xdr:from>
    <xdr:ext cx="4724400" cy="666750"/>
    <xdr:grpSp>
      <xdr:nvGrpSpPr>
        <xdr:cNvPr id="12" name="Shape 2">
          <a:extLst>
            <a:ext uri="{FF2B5EF4-FFF2-40B4-BE49-F238E27FC236}">
              <a16:creationId xmlns:a16="http://schemas.microsoft.com/office/drawing/2014/main" xmlns="" id="{00000000-0008-0000-0700-00000C000000}"/>
            </a:ext>
          </a:extLst>
        </xdr:cNvPr>
        <xdr:cNvGrpSpPr/>
      </xdr:nvGrpSpPr>
      <xdr:grpSpPr>
        <a:xfrm>
          <a:off x="38100" y="27305000"/>
          <a:ext cx="4724400" cy="666750"/>
          <a:chOff x="2983800" y="3446625"/>
          <a:chExt cx="4724400" cy="666750"/>
        </a:xfrm>
      </xdr:grpSpPr>
      <xdr:grpSp>
        <xdr:nvGrpSpPr>
          <xdr:cNvPr id="13" name="Shape 10">
            <a:extLst>
              <a:ext uri="{FF2B5EF4-FFF2-40B4-BE49-F238E27FC236}">
                <a16:creationId xmlns:a16="http://schemas.microsoft.com/office/drawing/2014/main" xmlns="" id="{00000000-0008-0000-0700-00000D000000}"/>
              </a:ext>
            </a:extLst>
          </xdr:cNvPr>
          <xdr:cNvGrpSpPr/>
        </xdr:nvGrpSpPr>
        <xdr:grpSpPr>
          <a:xfrm>
            <a:off x="2983800" y="3446625"/>
            <a:ext cx="4724400" cy="666750"/>
            <a:chOff x="28575" y="1"/>
            <a:chExt cx="4222751" cy="666750"/>
          </a:xfrm>
        </xdr:grpSpPr>
        <xdr:sp macro="" textlink="">
          <xdr:nvSpPr>
            <xdr:cNvPr id="14" name="Shape 4">
              <a:extLst>
                <a:ext uri="{FF2B5EF4-FFF2-40B4-BE49-F238E27FC236}">
                  <a16:creationId xmlns:a16="http://schemas.microsoft.com/office/drawing/2014/main" xmlns="" id="{00000000-0008-0000-0700-00000E000000}"/>
                </a:ext>
              </a:extLst>
            </xdr:cNvPr>
            <xdr:cNvSpPr/>
          </xdr:nvSpPr>
          <xdr:spPr>
            <a:xfrm>
              <a:off x="28575" y="1"/>
              <a:ext cx="422275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11">
              <a:extLst>
                <a:ext uri="{FF2B5EF4-FFF2-40B4-BE49-F238E27FC236}">
                  <a16:creationId xmlns:a16="http://schemas.microsoft.com/office/drawing/2014/main" xmlns="" id="{00000000-0008-0000-0700-00000F000000}"/>
                </a:ext>
              </a:extLst>
            </xdr:cNvPr>
            <xdr:cNvSpPr txBox="1"/>
          </xdr:nvSpPr>
          <xdr:spPr>
            <a:xfrm>
              <a:off x="618491" y="1"/>
              <a:ext cx="3632835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PEMERINTAH KOTA BONTANG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DINAS PENDIDIKAN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SMK NEGERI  I  BONTANG</a:t>
              </a:r>
              <a:endParaRPr sz="8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Jl. Ciptomangkusumo No. 2  Bontang  75313 Telp. 0548 22490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Fax. 0548 26372, e-mail; smkn1bontang@gmail.com</a:t>
              </a: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6" name="Shape 12" descr="logo BARU SMKN 1.png">
              <a:extLst>
                <a:ext uri="{FF2B5EF4-FFF2-40B4-BE49-F238E27FC236}">
                  <a16:creationId xmlns:a16="http://schemas.microsoft.com/office/drawing/2014/main" xmlns="" id="{00000000-0008-0000-07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8575" y="28575"/>
              <a:ext cx="633224" cy="609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523875</xdr:colOff>
      <xdr:row>6</xdr:row>
      <xdr:rowOff>114300</xdr:rowOff>
    </xdr:from>
    <xdr:ext cx="447675" cy="695325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SpPr/>
      </xdr:nvSpPr>
      <xdr:spPr>
        <a:xfrm>
          <a:off x="5123984" y="3436412"/>
          <a:ext cx="444032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P</a:t>
          </a:r>
          <a:endParaRPr sz="1400"/>
        </a:p>
      </xdr:txBody>
    </xdr:sp>
    <xdr:clientData fLocksWithSheet="0"/>
  </xdr:oneCellAnchor>
  <xdr:oneCellAnchor>
    <xdr:from>
      <xdr:col>18</xdr:col>
      <xdr:colOff>66675</xdr:colOff>
      <xdr:row>6</xdr:row>
      <xdr:rowOff>133350</xdr:rowOff>
    </xdr:from>
    <xdr:ext cx="428625" cy="695325"/>
    <xdr:sp macro="" textlink="">
      <xdr:nvSpPr>
        <xdr:cNvPr id="18" name="Shape 14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SpPr/>
      </xdr:nvSpPr>
      <xdr:spPr>
        <a:xfrm>
          <a:off x="5133026" y="3436412"/>
          <a:ext cx="425949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T</a:t>
          </a:r>
          <a:endParaRPr sz="1400"/>
        </a:p>
      </xdr:txBody>
    </xdr:sp>
    <xdr:clientData fLocksWithSheet="0"/>
  </xdr:oneCellAnchor>
  <xdr:oneCellAnchor>
    <xdr:from>
      <xdr:col>6</xdr:col>
      <xdr:colOff>523875</xdr:colOff>
      <xdr:row>76</xdr:row>
      <xdr:rowOff>123825</xdr:rowOff>
    </xdr:from>
    <xdr:ext cx="447675" cy="695325"/>
    <xdr:sp macro="" textlink="">
      <xdr:nvSpPr>
        <xdr:cNvPr id="19" name="Shape 15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SpPr/>
      </xdr:nvSpPr>
      <xdr:spPr>
        <a:xfrm>
          <a:off x="5123984" y="3436412"/>
          <a:ext cx="444032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P</a:t>
          </a:r>
          <a:endParaRPr sz="1400"/>
        </a:p>
      </xdr:txBody>
    </xdr:sp>
    <xdr:clientData fLocksWithSheet="0"/>
  </xdr:oneCellAnchor>
  <xdr:oneCellAnchor>
    <xdr:from>
      <xdr:col>18</xdr:col>
      <xdr:colOff>190500</xdr:colOff>
      <xdr:row>76</xdr:row>
      <xdr:rowOff>133350</xdr:rowOff>
    </xdr:from>
    <xdr:ext cx="428625" cy="695325"/>
    <xdr:sp macro="" textlink="">
      <xdr:nvSpPr>
        <xdr:cNvPr id="20" name="Shape 16">
          <a:extLst>
            <a:ext uri="{FF2B5EF4-FFF2-40B4-BE49-F238E27FC236}">
              <a16:creationId xmlns:a16="http://schemas.microsoft.com/office/drawing/2014/main" xmlns="" id="{00000000-0008-0000-0700-000014000000}"/>
            </a:ext>
          </a:extLst>
        </xdr:cNvPr>
        <xdr:cNvSpPr/>
      </xdr:nvSpPr>
      <xdr:spPr>
        <a:xfrm>
          <a:off x="5133026" y="3436412"/>
          <a:ext cx="425949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T</a:t>
          </a:r>
          <a:endParaRPr sz="1400"/>
        </a:p>
      </xdr:txBody>
    </xdr:sp>
    <xdr:clientData fLocksWithSheet="0"/>
  </xdr:oneCellAnchor>
  <xdr:oneCellAnchor>
    <xdr:from>
      <xdr:col>6</xdr:col>
      <xdr:colOff>476250</xdr:colOff>
      <xdr:row>146</xdr:row>
      <xdr:rowOff>123825</xdr:rowOff>
    </xdr:from>
    <xdr:ext cx="447675" cy="695325"/>
    <xdr:sp macro="" textlink="">
      <xdr:nvSpPr>
        <xdr:cNvPr id="21" name="Shape 17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SpPr/>
      </xdr:nvSpPr>
      <xdr:spPr>
        <a:xfrm>
          <a:off x="5123984" y="3436412"/>
          <a:ext cx="444032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P</a:t>
          </a:r>
          <a:endParaRPr sz="1400"/>
        </a:p>
      </xdr:txBody>
    </xdr:sp>
    <xdr:clientData fLocksWithSheet="0"/>
  </xdr:oneCellAnchor>
  <xdr:oneCellAnchor>
    <xdr:from>
      <xdr:col>18</xdr:col>
      <xdr:colOff>142875</xdr:colOff>
      <xdr:row>146</xdr:row>
      <xdr:rowOff>133350</xdr:rowOff>
    </xdr:from>
    <xdr:ext cx="428625" cy="695325"/>
    <xdr:sp macro="" textlink="">
      <xdr:nvSpPr>
        <xdr:cNvPr id="22" name="Shape 18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SpPr/>
      </xdr:nvSpPr>
      <xdr:spPr>
        <a:xfrm>
          <a:off x="5133026" y="3436412"/>
          <a:ext cx="425949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T</a:t>
          </a:r>
          <a:endParaRPr sz="1400"/>
        </a:p>
      </xdr:txBody>
    </xdr:sp>
    <xdr:clientData fLocksWithSheet="0"/>
  </xdr:oneCellAnchor>
  <xdr:oneCellAnchor>
    <xdr:from>
      <xdr:col>50</xdr:col>
      <xdr:colOff>152400</xdr:colOff>
      <xdr:row>61</xdr:row>
      <xdr:rowOff>171450</xdr:rowOff>
    </xdr:from>
    <xdr:ext cx="1809750" cy="742950"/>
    <xdr:pic>
      <xdr:nvPicPr>
        <xdr:cNvPr id="23" name="image1.png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304800</xdr:colOff>
      <xdr:row>132</xdr:row>
      <xdr:rowOff>152400</xdr:rowOff>
    </xdr:from>
    <xdr:ext cx="1809750" cy="742950"/>
    <xdr:pic>
      <xdr:nvPicPr>
        <xdr:cNvPr id="24" name="image1.png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342900</xdr:colOff>
      <xdr:row>201</xdr:row>
      <xdr:rowOff>28575</xdr:rowOff>
    </xdr:from>
    <xdr:ext cx="1809750" cy="742950"/>
    <xdr:pic>
      <xdr:nvPicPr>
        <xdr:cNvPr id="25" name="image1.png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7" sqref="F17"/>
    </sheetView>
  </sheetViews>
  <sheetFormatPr defaultColWidth="14.42578125" defaultRowHeight="15" customHeight="1" x14ac:dyDescent="0.25"/>
  <cols>
    <col min="1" max="1" width="3.85546875" customWidth="1"/>
    <col min="2" max="2" width="11.28515625" customWidth="1"/>
    <col min="3" max="3" width="41.28515625" customWidth="1"/>
    <col min="4" max="4" width="18.85546875" customWidth="1"/>
    <col min="5" max="5" width="15.85546875" customWidth="1"/>
    <col min="6" max="6" width="57.7109375" customWidth="1"/>
    <col min="7" max="9" width="8.7109375" customWidth="1"/>
    <col min="10" max="10" width="25.7109375" customWidth="1"/>
    <col min="11" max="11" width="16.140625" customWidth="1"/>
    <col min="12" max="12" width="18.85546875" customWidth="1"/>
    <col min="13" max="14" width="5.7109375" customWidth="1"/>
    <col min="15" max="26" width="8.7109375" customWidth="1"/>
  </cols>
  <sheetData>
    <row r="1" spans="1:14" x14ac:dyDescent="0.25">
      <c r="A1" s="16" t="s">
        <v>0</v>
      </c>
      <c r="B1" s="17" t="s">
        <v>1</v>
      </c>
      <c r="C1" s="16" t="s">
        <v>2</v>
      </c>
      <c r="D1" s="245" t="s">
        <v>3</v>
      </c>
      <c r="E1" s="246"/>
      <c r="F1" s="246"/>
      <c r="G1" s="246"/>
      <c r="H1" s="246"/>
      <c r="I1" s="246"/>
      <c r="J1" s="246"/>
      <c r="K1" s="247"/>
    </row>
    <row r="2" spans="1:14" x14ac:dyDescent="0.25">
      <c r="A2" s="16"/>
      <c r="B2" s="17"/>
      <c r="C2" s="16"/>
      <c r="D2" s="1" t="s">
        <v>4</v>
      </c>
      <c r="E2" s="2" t="s">
        <v>5</v>
      </c>
      <c r="F2" s="2" t="s">
        <v>6</v>
      </c>
      <c r="G2" s="248" t="s">
        <v>14</v>
      </c>
      <c r="H2" s="242"/>
      <c r="I2" s="242"/>
      <c r="J2" s="243"/>
      <c r="K2" s="18" t="s">
        <v>15</v>
      </c>
      <c r="L2" s="19" t="s">
        <v>16</v>
      </c>
    </row>
    <row r="3" spans="1:14" x14ac:dyDescent="0.25">
      <c r="A3" s="3">
        <v>1</v>
      </c>
      <c r="B3" s="4" t="e">
        <f>#REF!</f>
        <v>#REF!</v>
      </c>
      <c r="C3" s="5" t="e">
        <f>#REF!</f>
        <v>#REF!</v>
      </c>
      <c r="D3" s="6" t="s">
        <v>17</v>
      </c>
      <c r="E3" s="5" t="e">
        <f>#REF!</f>
        <v>#REF!</v>
      </c>
      <c r="F3" s="5" t="e">
        <f>#REF!</f>
        <v>#REF!</v>
      </c>
      <c r="G3" s="244" t="e">
        <f>#REF!</f>
        <v>#REF!</v>
      </c>
      <c r="H3" s="242"/>
      <c r="I3" s="242"/>
      <c r="J3" s="243"/>
      <c r="K3" s="5" t="e">
        <f t="shared" ref="K3:K4" si="0">CONCATENATE(B3,"-",E3)</f>
        <v>#REF!</v>
      </c>
      <c r="L3" s="6" t="s">
        <v>7</v>
      </c>
      <c r="M3" s="20"/>
      <c r="N3" s="20"/>
    </row>
    <row r="4" spans="1:14" x14ac:dyDescent="0.25">
      <c r="A4" s="3">
        <v>2</v>
      </c>
      <c r="B4" s="9" t="e">
        <f>#REF!</f>
        <v>#REF!</v>
      </c>
      <c r="C4" s="4" t="e">
        <f>#REF!</f>
        <v>#REF!</v>
      </c>
      <c r="D4" s="6" t="s">
        <v>7</v>
      </c>
      <c r="E4" s="5" t="e">
        <f>#REF!</f>
        <v>#REF!</v>
      </c>
      <c r="F4" s="5" t="e">
        <f>#REF!</f>
        <v>#REF!</v>
      </c>
      <c r="G4" s="244" t="e">
        <f>#REF!</f>
        <v>#REF!</v>
      </c>
      <c r="H4" s="242"/>
      <c r="I4" s="242"/>
      <c r="J4" s="243"/>
      <c r="K4" s="5" t="e">
        <f t="shared" si="0"/>
        <v>#REF!</v>
      </c>
      <c r="L4" s="6" t="s">
        <v>7</v>
      </c>
      <c r="M4" s="21"/>
      <c r="N4" s="21"/>
    </row>
    <row r="5" spans="1:14" x14ac:dyDescent="0.25">
      <c r="A5" s="3"/>
      <c r="B5" s="22"/>
      <c r="C5" s="4"/>
      <c r="D5" s="6" t="s">
        <v>7</v>
      </c>
      <c r="E5" s="5" t="e">
        <f>#REF!</f>
        <v>#REF!</v>
      </c>
      <c r="F5" s="5" t="e">
        <f>#REF!</f>
        <v>#REF!</v>
      </c>
      <c r="G5" s="244" t="e">
        <f>#REF!</f>
        <v>#REF!</v>
      </c>
      <c r="H5" s="242"/>
      <c r="I5" s="242"/>
      <c r="J5" s="243"/>
      <c r="K5" s="5" t="e">
        <f>CONCATENATE(B4,"-",E5)</f>
        <v>#REF!</v>
      </c>
      <c r="L5" s="6" t="s">
        <v>7</v>
      </c>
    </row>
    <row r="6" spans="1:14" x14ac:dyDescent="0.25">
      <c r="A6" s="3">
        <v>3</v>
      </c>
      <c r="B6" s="4" t="e">
        <f>#REF!</f>
        <v>#REF!</v>
      </c>
      <c r="C6" s="4" t="e">
        <f>#REF!</f>
        <v>#REF!</v>
      </c>
      <c r="D6" s="6" t="s">
        <v>7</v>
      </c>
      <c r="E6" s="5" t="e">
        <f>#REF!</f>
        <v>#REF!</v>
      </c>
      <c r="F6" s="5" t="e">
        <f>#REF!</f>
        <v>#REF!</v>
      </c>
      <c r="G6" s="244" t="e">
        <f>#REF!</f>
        <v>#REF!</v>
      </c>
      <c r="H6" s="242"/>
      <c r="I6" s="242"/>
      <c r="J6" s="243"/>
      <c r="K6" s="5" t="e">
        <f>CONCATENATE(B6,"-",E6)</f>
        <v>#REF!</v>
      </c>
      <c r="L6" s="6" t="s">
        <v>7</v>
      </c>
    </row>
    <row r="7" spans="1:14" x14ac:dyDescent="0.25">
      <c r="A7" s="3"/>
      <c r="B7" s="4"/>
      <c r="C7" s="4"/>
      <c r="D7" s="6" t="s">
        <v>7</v>
      </c>
      <c r="E7" s="5" t="e">
        <f>#REF!</f>
        <v>#REF!</v>
      </c>
      <c r="F7" s="5" t="e">
        <f>#REF!</f>
        <v>#REF!</v>
      </c>
      <c r="G7" s="244" t="e">
        <f>#REF!</f>
        <v>#REF!</v>
      </c>
      <c r="H7" s="242"/>
      <c r="I7" s="242"/>
      <c r="J7" s="243"/>
      <c r="K7" s="5" t="e">
        <f>CONCATENATE(B6,"-",E7)</f>
        <v>#REF!</v>
      </c>
      <c r="L7" s="6" t="s">
        <v>7</v>
      </c>
    </row>
    <row r="8" spans="1:14" x14ac:dyDescent="0.25">
      <c r="A8" s="3">
        <v>4</v>
      </c>
      <c r="B8" s="4" t="e">
        <f>#REF!</f>
        <v>#REF!</v>
      </c>
      <c r="C8" s="4" t="e">
        <f>#REF!</f>
        <v>#REF!</v>
      </c>
      <c r="D8" s="6" t="s">
        <v>7</v>
      </c>
      <c r="E8" s="5" t="e">
        <f>#REF!</f>
        <v>#REF!</v>
      </c>
      <c r="F8" s="5" t="e">
        <f>#REF!</f>
        <v>#REF!</v>
      </c>
      <c r="G8" s="244" t="e">
        <f>#REF!</f>
        <v>#REF!</v>
      </c>
      <c r="H8" s="242"/>
      <c r="I8" s="242"/>
      <c r="J8" s="243"/>
      <c r="K8" s="5" t="e">
        <f>CONCATENATE(B8,"-",E8)</f>
        <v>#REF!</v>
      </c>
      <c r="L8" s="6" t="s">
        <v>7</v>
      </c>
    </row>
    <row r="9" spans="1:14" x14ac:dyDescent="0.25">
      <c r="A9" s="3"/>
      <c r="B9" s="4"/>
      <c r="C9" s="4"/>
      <c r="D9" s="6" t="s">
        <v>7</v>
      </c>
      <c r="E9" s="5" t="e">
        <f>#REF!</f>
        <v>#REF!</v>
      </c>
      <c r="F9" s="5" t="e">
        <f>#REF!</f>
        <v>#REF!</v>
      </c>
      <c r="G9" s="244" t="e">
        <f>#REF!</f>
        <v>#REF!</v>
      </c>
      <c r="H9" s="242"/>
      <c r="I9" s="242"/>
      <c r="J9" s="243"/>
      <c r="K9" s="5" t="e">
        <f>CONCATENATE(B8,"-",E9)</f>
        <v>#REF!</v>
      </c>
      <c r="L9" s="6" t="s">
        <v>7</v>
      </c>
    </row>
    <row r="10" spans="1:14" x14ac:dyDescent="0.25">
      <c r="A10" s="3">
        <v>5</v>
      </c>
      <c r="B10" s="4" t="e">
        <f>#REF!</f>
        <v>#REF!</v>
      </c>
      <c r="C10" s="5" t="e">
        <f>#REF!</f>
        <v>#REF!</v>
      </c>
      <c r="D10" s="6" t="s">
        <v>7</v>
      </c>
      <c r="E10" s="5" t="e">
        <f>#REF!</f>
        <v>#REF!</v>
      </c>
      <c r="F10" s="5" t="e">
        <f>#REF!</f>
        <v>#REF!</v>
      </c>
      <c r="G10" s="244" t="e">
        <f>#REF!</f>
        <v>#REF!</v>
      </c>
      <c r="H10" s="242"/>
      <c r="I10" s="242"/>
      <c r="J10" s="243"/>
      <c r="K10" s="5" t="e">
        <f t="shared" ref="K10:K12" si="1">CONCATENATE(B10,"-",E10)</f>
        <v>#REF!</v>
      </c>
      <c r="L10" s="6" t="s">
        <v>7</v>
      </c>
    </row>
    <row r="11" spans="1:14" x14ac:dyDescent="0.25">
      <c r="A11" s="3">
        <v>6</v>
      </c>
      <c r="B11" s="4" t="e">
        <f>#REF!</f>
        <v>#REF!</v>
      </c>
      <c r="C11" s="5" t="e">
        <f>#REF!</f>
        <v>#REF!</v>
      </c>
      <c r="D11" s="6" t="s">
        <v>7</v>
      </c>
      <c r="E11" s="5" t="e">
        <f>#REF!</f>
        <v>#REF!</v>
      </c>
      <c r="F11" s="5" t="e">
        <f>#REF!</f>
        <v>#REF!</v>
      </c>
      <c r="G11" s="244" t="e">
        <f>#REF!</f>
        <v>#REF!</v>
      </c>
      <c r="H11" s="242"/>
      <c r="I11" s="242"/>
      <c r="J11" s="243"/>
      <c r="K11" s="5" t="e">
        <f t="shared" si="1"/>
        <v>#REF!</v>
      </c>
      <c r="L11" s="6" t="s">
        <v>7</v>
      </c>
    </row>
    <row r="12" spans="1:14" x14ac:dyDescent="0.25">
      <c r="A12" s="3">
        <v>7</v>
      </c>
      <c r="B12" s="4" t="e">
        <f>#REF!</f>
        <v>#REF!</v>
      </c>
      <c r="C12" s="4" t="e">
        <f>#REF!</f>
        <v>#REF!</v>
      </c>
      <c r="D12" s="6" t="s">
        <v>7</v>
      </c>
      <c r="E12" s="5" t="e">
        <f>#REF!</f>
        <v>#REF!</v>
      </c>
      <c r="F12" s="5" t="e">
        <f>#REF!</f>
        <v>#REF!</v>
      </c>
      <c r="G12" s="244" t="e">
        <f>#REF!</f>
        <v>#REF!</v>
      </c>
      <c r="H12" s="242"/>
      <c r="I12" s="242"/>
      <c r="J12" s="243"/>
      <c r="K12" s="5" t="e">
        <f t="shared" si="1"/>
        <v>#REF!</v>
      </c>
      <c r="L12" s="6" t="s">
        <v>7</v>
      </c>
    </row>
    <row r="13" spans="1:14" x14ac:dyDescent="0.25">
      <c r="A13" s="3"/>
      <c r="B13" s="4"/>
      <c r="C13" s="4"/>
      <c r="D13" s="6" t="s">
        <v>7</v>
      </c>
      <c r="E13" s="5" t="e">
        <f>#REF!</f>
        <v>#REF!</v>
      </c>
      <c r="F13" s="5" t="e">
        <f>#REF!</f>
        <v>#REF!</v>
      </c>
      <c r="G13" s="244" t="s">
        <v>8</v>
      </c>
      <c r="H13" s="242"/>
      <c r="I13" s="242"/>
      <c r="J13" s="243"/>
      <c r="K13" s="5" t="e">
        <f>CONCATENATE(B12,"-",E13)</f>
        <v>#REF!</v>
      </c>
      <c r="L13" s="6" t="s">
        <v>7</v>
      </c>
    </row>
    <row r="14" spans="1:14" x14ac:dyDescent="0.25">
      <c r="A14" s="3"/>
      <c r="B14" s="4"/>
      <c r="C14" s="4"/>
      <c r="D14" s="6" t="s">
        <v>7</v>
      </c>
      <c r="E14" s="5" t="e">
        <f>#REF!</f>
        <v>#REF!</v>
      </c>
      <c r="F14" s="5" t="e">
        <f>#REF!</f>
        <v>#REF!</v>
      </c>
      <c r="G14" s="244" t="e">
        <f>#REF!</f>
        <v>#REF!</v>
      </c>
      <c r="H14" s="242"/>
      <c r="I14" s="242"/>
      <c r="J14" s="243"/>
      <c r="K14" s="5" t="e">
        <f>CONCATENATE(B12,"-",E14)</f>
        <v>#REF!</v>
      </c>
      <c r="L14" s="6" t="s">
        <v>7</v>
      </c>
    </row>
    <row r="15" spans="1:14" x14ac:dyDescent="0.25">
      <c r="A15" s="8">
        <v>8</v>
      </c>
      <c r="B15" s="9" t="e">
        <f>#REF!</f>
        <v>#REF!</v>
      </c>
      <c r="C15" s="9" t="e">
        <f>#REF!</f>
        <v>#REF!</v>
      </c>
      <c r="D15" s="7" t="s">
        <v>7</v>
      </c>
      <c r="E15" s="5" t="e">
        <f>#REF!</f>
        <v>#REF!</v>
      </c>
      <c r="F15" s="5" t="e">
        <f>#REF!</f>
        <v>#REF!</v>
      </c>
      <c r="G15" s="244" t="e">
        <f>#REF!</f>
        <v>#REF!</v>
      </c>
      <c r="H15" s="242"/>
      <c r="I15" s="242"/>
      <c r="J15" s="243"/>
      <c r="K15" s="5" t="e">
        <f>CONCATENATE(B15,"-",E15)</f>
        <v>#REF!</v>
      </c>
      <c r="L15" s="6" t="s">
        <v>7</v>
      </c>
    </row>
    <row r="16" spans="1:14" x14ac:dyDescent="0.25">
      <c r="A16" s="23"/>
      <c r="B16" s="22"/>
      <c r="C16" s="22"/>
      <c r="D16" s="7" t="s">
        <v>7</v>
      </c>
      <c r="E16" s="5" t="e">
        <f>#REF!</f>
        <v>#REF!</v>
      </c>
      <c r="F16" s="24" t="e">
        <f>#REF!</f>
        <v>#REF!</v>
      </c>
      <c r="G16" s="244" t="s">
        <v>9</v>
      </c>
      <c r="H16" s="242"/>
      <c r="I16" s="242"/>
      <c r="J16" s="243"/>
      <c r="K16" s="5" t="e">
        <f>CONCATENATE(B15,"-",E16)</f>
        <v>#REF!</v>
      </c>
      <c r="L16" s="6" t="s">
        <v>7</v>
      </c>
    </row>
    <row r="17" spans="1:12" x14ac:dyDescent="0.25">
      <c r="A17" s="3">
        <v>9</v>
      </c>
      <c r="B17" s="4" t="e">
        <f>#REF!</f>
        <v>#REF!</v>
      </c>
      <c r="C17" s="5" t="e">
        <f>#REF!</f>
        <v>#REF!</v>
      </c>
      <c r="D17" s="6" t="s">
        <v>7</v>
      </c>
      <c r="E17" s="5" t="e">
        <f>#REF!</f>
        <v>#REF!</v>
      </c>
      <c r="F17" s="5" t="e">
        <f>#REF!</f>
        <v>#REF!</v>
      </c>
      <c r="G17" s="244" t="e">
        <f>#REF!</f>
        <v>#REF!</v>
      </c>
      <c r="H17" s="242"/>
      <c r="I17" s="242"/>
      <c r="J17" s="243"/>
      <c r="K17" s="5" t="e">
        <f t="shared" ref="K17:K19" si="2">CONCATENATE(B17,"-",E17)</f>
        <v>#REF!</v>
      </c>
      <c r="L17" s="6" t="s">
        <v>7</v>
      </c>
    </row>
    <row r="18" spans="1:12" x14ac:dyDescent="0.25">
      <c r="A18" s="3">
        <v>10</v>
      </c>
      <c r="B18" s="4" t="e">
        <f>#REF!</f>
        <v>#REF!</v>
      </c>
      <c r="C18" s="5" t="e">
        <f>#REF!</f>
        <v>#REF!</v>
      </c>
      <c r="D18" s="6" t="s">
        <v>7</v>
      </c>
      <c r="E18" s="5" t="e">
        <f>#REF!</f>
        <v>#REF!</v>
      </c>
      <c r="F18" s="5" t="e">
        <f>#REF!</f>
        <v>#REF!</v>
      </c>
      <c r="G18" s="244" t="e">
        <f>#REF!</f>
        <v>#REF!</v>
      </c>
      <c r="H18" s="242"/>
      <c r="I18" s="242"/>
      <c r="J18" s="243"/>
      <c r="K18" s="5" t="e">
        <f t="shared" si="2"/>
        <v>#REF!</v>
      </c>
      <c r="L18" s="6" t="s">
        <v>7</v>
      </c>
    </row>
    <row r="19" spans="1:12" x14ac:dyDescent="0.25">
      <c r="A19" s="8">
        <v>11</v>
      </c>
      <c r="B19" s="9" t="e">
        <f>#REF!</f>
        <v>#REF!</v>
      </c>
      <c r="C19" s="9" t="e">
        <f>#REF!</f>
        <v>#REF!</v>
      </c>
      <c r="D19" s="6" t="s">
        <v>7</v>
      </c>
      <c r="E19" s="5" t="e">
        <f>#REF!</f>
        <v>#REF!</v>
      </c>
      <c r="F19" s="5" t="e">
        <f>#REF!</f>
        <v>#REF!</v>
      </c>
      <c r="G19" s="244" t="e">
        <f>#REF!</f>
        <v>#REF!</v>
      </c>
      <c r="H19" s="242"/>
      <c r="I19" s="242"/>
      <c r="J19" s="243"/>
      <c r="K19" s="5" t="e">
        <f t="shared" si="2"/>
        <v>#REF!</v>
      </c>
      <c r="L19" s="6" t="s">
        <v>7</v>
      </c>
    </row>
    <row r="20" spans="1:12" x14ac:dyDescent="0.25">
      <c r="A20" s="23"/>
      <c r="B20" s="22"/>
      <c r="C20" s="22"/>
      <c r="D20" s="6" t="s">
        <v>7</v>
      </c>
      <c r="E20" s="5" t="e">
        <f>#REF!</f>
        <v>#REF!</v>
      </c>
      <c r="F20" s="24" t="e">
        <f>#REF!</f>
        <v>#REF!</v>
      </c>
      <c r="G20" s="244" t="s">
        <v>10</v>
      </c>
      <c r="H20" s="242"/>
      <c r="I20" s="242"/>
      <c r="J20" s="243"/>
      <c r="K20" s="5" t="e">
        <f>CONCATENATE(B19,"-",E20)</f>
        <v>#REF!</v>
      </c>
      <c r="L20" s="6" t="s">
        <v>7</v>
      </c>
    </row>
    <row r="21" spans="1:12" ht="15.75" customHeight="1" x14ac:dyDescent="0.25">
      <c r="A21" s="8">
        <v>12</v>
      </c>
      <c r="B21" s="9" t="e">
        <f>#REF!</f>
        <v>#REF!</v>
      </c>
      <c r="C21" s="9" t="e">
        <f>#REF!</f>
        <v>#REF!</v>
      </c>
      <c r="D21" s="6" t="s">
        <v>7</v>
      </c>
      <c r="E21" s="5" t="e">
        <f>#REF!</f>
        <v>#REF!</v>
      </c>
      <c r="F21" s="5" t="e">
        <f>#REF!</f>
        <v>#REF!</v>
      </c>
      <c r="G21" s="244" t="e">
        <f>#REF!</f>
        <v>#REF!</v>
      </c>
      <c r="H21" s="242"/>
      <c r="I21" s="242"/>
      <c r="J21" s="243"/>
      <c r="K21" s="5" t="e">
        <f t="shared" ref="K21:K24" si="3">CONCATENATE(B21,"-",E21)</f>
        <v>#REF!</v>
      </c>
      <c r="L21" s="6" t="s">
        <v>7</v>
      </c>
    </row>
    <row r="22" spans="1:12" ht="15.75" customHeight="1" x14ac:dyDescent="0.25">
      <c r="A22" s="3">
        <v>13</v>
      </c>
      <c r="B22" s="9" t="e">
        <f>#REF!</f>
        <v>#REF!</v>
      </c>
      <c r="C22" s="5" t="e">
        <f>#REF!</f>
        <v>#REF!</v>
      </c>
      <c r="D22" s="6" t="s">
        <v>7</v>
      </c>
      <c r="E22" s="5" t="e">
        <f>#REF!</f>
        <v>#REF!</v>
      </c>
      <c r="F22" s="5" t="e">
        <f>#REF!</f>
        <v>#REF!</v>
      </c>
      <c r="G22" s="244" t="e">
        <f>#REF!</f>
        <v>#REF!</v>
      </c>
      <c r="H22" s="242"/>
      <c r="I22" s="242"/>
      <c r="J22" s="243"/>
      <c r="K22" s="5" t="e">
        <f t="shared" si="3"/>
        <v>#REF!</v>
      </c>
      <c r="L22" s="6" t="s">
        <v>7</v>
      </c>
    </row>
    <row r="23" spans="1:12" ht="15.75" customHeight="1" x14ac:dyDescent="0.25">
      <c r="A23" s="3">
        <v>14</v>
      </c>
      <c r="B23" s="9" t="e">
        <f>#REF!</f>
        <v>#REF!</v>
      </c>
      <c r="C23" s="5" t="e">
        <f>#REF!</f>
        <v>#REF!</v>
      </c>
      <c r="D23" s="6" t="s">
        <v>7</v>
      </c>
      <c r="E23" s="5" t="e">
        <f>#REF!</f>
        <v>#REF!</v>
      </c>
      <c r="F23" s="5" t="e">
        <f>#REF!</f>
        <v>#REF!</v>
      </c>
      <c r="G23" s="244" t="e">
        <f>#REF!</f>
        <v>#REF!</v>
      </c>
      <c r="H23" s="242"/>
      <c r="I23" s="242"/>
      <c r="J23" s="243"/>
      <c r="K23" s="5" t="e">
        <f t="shared" si="3"/>
        <v>#REF!</v>
      </c>
      <c r="L23" s="6" t="s">
        <v>7</v>
      </c>
    </row>
    <row r="24" spans="1:12" ht="15.75" customHeight="1" x14ac:dyDescent="0.25">
      <c r="A24" s="3">
        <v>15</v>
      </c>
      <c r="B24" s="4" t="e">
        <f>#REF!</f>
        <v>#REF!</v>
      </c>
      <c r="C24" s="4" t="e">
        <f>#REF!</f>
        <v>#REF!</v>
      </c>
      <c r="D24" s="6" t="s">
        <v>7</v>
      </c>
      <c r="E24" s="5" t="e">
        <f>#REF!</f>
        <v>#REF!</v>
      </c>
      <c r="F24" s="5" t="e">
        <f>#REF!</f>
        <v>#REF!</v>
      </c>
      <c r="G24" s="244" t="e">
        <f>#REF!</f>
        <v>#REF!</v>
      </c>
      <c r="H24" s="242"/>
      <c r="I24" s="242"/>
      <c r="J24" s="243"/>
      <c r="K24" s="5" t="e">
        <f t="shared" si="3"/>
        <v>#REF!</v>
      </c>
      <c r="L24" s="6" t="s">
        <v>7</v>
      </c>
    </row>
    <row r="25" spans="1:12" ht="15.75" customHeight="1" x14ac:dyDescent="0.25">
      <c r="A25" s="3"/>
      <c r="B25" s="4"/>
      <c r="C25" s="4"/>
      <c r="D25" s="6" t="s">
        <v>7</v>
      </c>
      <c r="E25" s="5" t="e">
        <f>#REF!</f>
        <v>#REF!</v>
      </c>
      <c r="F25" s="5" t="e">
        <f>#REF!</f>
        <v>#REF!</v>
      </c>
      <c r="G25" s="244" t="e">
        <f>#REF!</f>
        <v>#REF!</v>
      </c>
      <c r="H25" s="242"/>
      <c r="I25" s="242"/>
      <c r="J25" s="243"/>
      <c r="K25" s="5" t="e">
        <f>CONCATENATE(B24,"-",E25)</f>
        <v>#REF!</v>
      </c>
      <c r="L25" s="6" t="s">
        <v>7</v>
      </c>
    </row>
    <row r="26" spans="1:12" ht="15.75" customHeight="1" x14ac:dyDescent="0.25">
      <c r="A26" s="3">
        <v>16</v>
      </c>
      <c r="B26" s="4" t="e">
        <f>#REF!</f>
        <v>#REF!</v>
      </c>
      <c r="C26" s="4" t="e">
        <f>#REF!</f>
        <v>#REF!</v>
      </c>
      <c r="D26" s="6" t="s">
        <v>7</v>
      </c>
      <c r="E26" s="5" t="e">
        <f>#REF!</f>
        <v>#REF!</v>
      </c>
      <c r="F26" s="5" t="e">
        <f>#REF!</f>
        <v>#REF!</v>
      </c>
      <c r="G26" s="244" t="e">
        <f>#REF!</f>
        <v>#REF!</v>
      </c>
      <c r="H26" s="242"/>
      <c r="I26" s="242"/>
      <c r="J26" s="243"/>
      <c r="K26" s="5" t="e">
        <f>CONCATENATE(B26,"-",E26)</f>
        <v>#REF!</v>
      </c>
      <c r="L26" s="6" t="s">
        <v>7</v>
      </c>
    </row>
    <row r="27" spans="1:12" ht="15.75" customHeight="1" x14ac:dyDescent="0.25">
      <c r="A27" s="3"/>
      <c r="B27" s="4"/>
      <c r="C27" s="4"/>
      <c r="D27" s="6" t="s">
        <v>7</v>
      </c>
      <c r="E27" s="5" t="e">
        <f>#REF!</f>
        <v>#REF!</v>
      </c>
      <c r="F27" s="5" t="e">
        <f>#REF!</f>
        <v>#REF!</v>
      </c>
      <c r="G27" s="244" t="e">
        <f>#REF!</f>
        <v>#REF!</v>
      </c>
      <c r="H27" s="242"/>
      <c r="I27" s="242"/>
      <c r="J27" s="243"/>
      <c r="K27" s="5" t="e">
        <f>CONCATENATE(B26,"-",E27)</f>
        <v>#REF!</v>
      </c>
      <c r="L27" s="6" t="s">
        <v>7</v>
      </c>
    </row>
    <row r="28" spans="1:12" ht="15.75" customHeight="1" x14ac:dyDescent="0.25">
      <c r="A28" s="3"/>
      <c r="B28" s="4"/>
      <c r="C28" s="4"/>
      <c r="D28" s="6" t="s">
        <v>7</v>
      </c>
      <c r="E28" s="5" t="e">
        <f>#REF!</f>
        <v>#REF!</v>
      </c>
      <c r="F28" s="5" t="e">
        <f>#REF!</f>
        <v>#REF!</v>
      </c>
      <c r="G28" s="244" t="e">
        <f>#REF!</f>
        <v>#REF!</v>
      </c>
      <c r="H28" s="242"/>
      <c r="I28" s="242"/>
      <c r="J28" s="243"/>
      <c r="K28" s="5" t="e">
        <f>CONCATENATE(B26,"-",E28)</f>
        <v>#REF!</v>
      </c>
      <c r="L28" s="6" t="s">
        <v>7</v>
      </c>
    </row>
    <row r="29" spans="1:12" ht="15.75" customHeight="1" x14ac:dyDescent="0.25">
      <c r="A29" s="3">
        <v>17</v>
      </c>
      <c r="B29" s="4" t="e">
        <f>#REF!</f>
        <v>#REF!</v>
      </c>
      <c r="C29" s="5" t="e">
        <f>#REF!</f>
        <v>#REF!</v>
      </c>
      <c r="D29" s="6" t="s">
        <v>7</v>
      </c>
      <c r="E29" s="5" t="e">
        <f>#REF!</f>
        <v>#REF!</v>
      </c>
      <c r="F29" s="5" t="e">
        <f>#REF!</f>
        <v>#REF!</v>
      </c>
      <c r="G29" s="244" t="e">
        <f>#REF!</f>
        <v>#REF!</v>
      </c>
      <c r="H29" s="242"/>
      <c r="I29" s="242"/>
      <c r="J29" s="243"/>
      <c r="K29" s="5" t="e">
        <f t="shared" ref="K29:K32" si="4">CONCATENATE(B29,"-",E29)</f>
        <v>#REF!</v>
      </c>
      <c r="L29" s="6" t="s">
        <v>7</v>
      </c>
    </row>
    <row r="30" spans="1:12" ht="15.75" customHeight="1" x14ac:dyDescent="0.25">
      <c r="A30" s="3">
        <v>18</v>
      </c>
      <c r="B30" s="4" t="e">
        <f>#REF!</f>
        <v>#REF!</v>
      </c>
      <c r="C30" s="5" t="e">
        <f>#REF!</f>
        <v>#REF!</v>
      </c>
      <c r="D30" s="6" t="s">
        <v>7</v>
      </c>
      <c r="E30" s="5" t="e">
        <f>#REF!</f>
        <v>#REF!</v>
      </c>
      <c r="F30" s="5" t="e">
        <f>#REF!</f>
        <v>#REF!</v>
      </c>
      <c r="G30" s="244" t="e">
        <f>#REF!</f>
        <v>#REF!</v>
      </c>
      <c r="H30" s="242"/>
      <c r="I30" s="242"/>
      <c r="J30" s="243"/>
      <c r="K30" s="5" t="e">
        <f t="shared" si="4"/>
        <v>#REF!</v>
      </c>
      <c r="L30" s="6" t="s">
        <v>7</v>
      </c>
    </row>
    <row r="31" spans="1:12" ht="15.75" customHeight="1" x14ac:dyDescent="0.25">
      <c r="A31" s="3">
        <v>19</v>
      </c>
      <c r="B31" s="4" t="e">
        <f>#REF!</f>
        <v>#REF!</v>
      </c>
      <c r="C31" s="5" t="e">
        <f>#REF!</f>
        <v>#REF!</v>
      </c>
      <c r="D31" s="6" t="s">
        <v>7</v>
      </c>
      <c r="E31" s="5" t="e">
        <f>#REF!</f>
        <v>#REF!</v>
      </c>
      <c r="F31" s="5" t="e">
        <f>#REF!</f>
        <v>#REF!</v>
      </c>
      <c r="G31" s="244" t="e">
        <f>#REF!</f>
        <v>#REF!</v>
      </c>
      <c r="H31" s="242"/>
      <c r="I31" s="242"/>
      <c r="J31" s="243"/>
      <c r="K31" s="5" t="e">
        <f t="shared" si="4"/>
        <v>#REF!</v>
      </c>
      <c r="L31" s="6" t="s">
        <v>7</v>
      </c>
    </row>
    <row r="32" spans="1:12" ht="15.75" customHeight="1" x14ac:dyDescent="0.25">
      <c r="A32" s="8">
        <v>20</v>
      </c>
      <c r="B32" s="9" t="e">
        <f>#REF!</f>
        <v>#REF!</v>
      </c>
      <c r="C32" s="9" t="e">
        <f>#REF!</f>
        <v>#REF!</v>
      </c>
      <c r="D32" s="6" t="s">
        <v>7</v>
      </c>
      <c r="E32" s="5" t="e">
        <f>#REF!</f>
        <v>#REF!</v>
      </c>
      <c r="F32" s="5" t="e">
        <f>#REF!</f>
        <v>#REF!</v>
      </c>
      <c r="G32" s="244" t="e">
        <f>#REF!</f>
        <v>#REF!</v>
      </c>
      <c r="H32" s="242"/>
      <c r="I32" s="242"/>
      <c r="J32" s="243"/>
      <c r="K32" s="5" t="e">
        <f t="shared" si="4"/>
        <v>#REF!</v>
      </c>
      <c r="L32" s="6" t="s">
        <v>7</v>
      </c>
    </row>
    <row r="33" spans="1:12" ht="15.75" customHeight="1" x14ac:dyDescent="0.25">
      <c r="A33" s="23"/>
      <c r="B33" s="22"/>
      <c r="C33" s="22"/>
      <c r="D33" s="6" t="s">
        <v>7</v>
      </c>
      <c r="E33" s="5" t="e">
        <f>#REF!</f>
        <v>#REF!</v>
      </c>
      <c r="F33" s="24" t="e">
        <f>#REF!</f>
        <v>#REF!</v>
      </c>
      <c r="G33" s="244" t="s">
        <v>11</v>
      </c>
      <c r="H33" s="242"/>
      <c r="I33" s="242"/>
      <c r="J33" s="243"/>
      <c r="K33" s="5" t="e">
        <f>CONCATENATE(B32,"-",E33)</f>
        <v>#REF!</v>
      </c>
      <c r="L33" s="6" t="s">
        <v>7</v>
      </c>
    </row>
    <row r="34" spans="1:12" ht="15.75" customHeight="1" x14ac:dyDescent="0.25">
      <c r="A34" s="8">
        <v>21</v>
      </c>
      <c r="B34" s="9" t="e">
        <f>#REF!</f>
        <v>#REF!</v>
      </c>
      <c r="C34" s="9" t="e">
        <f>#REF!</f>
        <v>#REF!</v>
      </c>
      <c r="D34" s="6" t="s">
        <v>7</v>
      </c>
      <c r="E34" s="5" t="e">
        <f>#REF!</f>
        <v>#REF!</v>
      </c>
      <c r="F34" s="5" t="e">
        <f>#REF!</f>
        <v>#REF!</v>
      </c>
      <c r="G34" s="244" t="e">
        <f>#REF!</f>
        <v>#REF!</v>
      </c>
      <c r="H34" s="242"/>
      <c r="I34" s="242"/>
      <c r="J34" s="243"/>
      <c r="K34" s="5" t="e">
        <f>CONCATENATE(B34,"-",E34)</f>
        <v>#REF!</v>
      </c>
      <c r="L34" s="6" t="s">
        <v>7</v>
      </c>
    </row>
    <row r="35" spans="1:12" ht="15.75" customHeight="1" x14ac:dyDescent="0.25">
      <c r="A35" s="23"/>
      <c r="B35" s="22"/>
      <c r="C35" s="22"/>
      <c r="D35" s="6" t="s">
        <v>7</v>
      </c>
      <c r="E35" s="5" t="e">
        <f>#REF!</f>
        <v>#REF!</v>
      </c>
      <c r="F35" s="24" t="e">
        <f>#REF!</f>
        <v>#REF!</v>
      </c>
      <c r="G35" s="244" t="s">
        <v>12</v>
      </c>
      <c r="H35" s="242"/>
      <c r="I35" s="242"/>
      <c r="J35" s="243"/>
      <c r="K35" s="5" t="e">
        <f>CONCATENATE(B34,"-",E35)</f>
        <v>#REF!</v>
      </c>
      <c r="L35" s="6" t="s">
        <v>7</v>
      </c>
    </row>
    <row r="36" spans="1:12" ht="15.75" customHeight="1" x14ac:dyDescent="0.25">
      <c r="A36" s="3">
        <v>22</v>
      </c>
      <c r="B36" s="4" t="e">
        <f>#REF!</f>
        <v>#REF!</v>
      </c>
      <c r="C36" s="4" t="e">
        <f>#REF!</f>
        <v>#REF!</v>
      </c>
      <c r="D36" s="6" t="s">
        <v>7</v>
      </c>
      <c r="E36" s="5" t="e">
        <f>#REF!</f>
        <v>#REF!</v>
      </c>
      <c r="F36" s="5" t="e">
        <f>#REF!</f>
        <v>#REF!</v>
      </c>
      <c r="G36" s="244" t="e">
        <f>#REF!</f>
        <v>#REF!</v>
      </c>
      <c r="H36" s="242"/>
      <c r="I36" s="242"/>
      <c r="J36" s="243"/>
      <c r="K36" s="5" t="e">
        <f>CONCATENATE(B36,"-",E36)</f>
        <v>#REF!</v>
      </c>
      <c r="L36" s="6" t="s">
        <v>7</v>
      </c>
    </row>
    <row r="37" spans="1:12" ht="15.75" customHeight="1" x14ac:dyDescent="0.25">
      <c r="A37" s="3"/>
      <c r="B37" s="4"/>
      <c r="C37" s="4"/>
      <c r="D37" s="6" t="s">
        <v>7</v>
      </c>
      <c r="E37" s="5" t="e">
        <f>#REF!</f>
        <v>#REF!</v>
      </c>
      <c r="F37" s="5" t="e">
        <f>#REF!</f>
        <v>#REF!</v>
      </c>
      <c r="G37" s="244" t="e">
        <f>#REF!</f>
        <v>#REF!</v>
      </c>
      <c r="H37" s="242"/>
      <c r="I37" s="242"/>
      <c r="J37" s="243"/>
      <c r="K37" s="5" t="e">
        <f>CONCATENATE(B36,"-",E37)</f>
        <v>#REF!</v>
      </c>
      <c r="L37" s="6" t="s">
        <v>7</v>
      </c>
    </row>
    <row r="38" spans="1:12" ht="15.75" customHeight="1" x14ac:dyDescent="0.25">
      <c r="A38" s="3">
        <v>23</v>
      </c>
      <c r="B38" s="4" t="e">
        <f>#REF!</f>
        <v>#REF!</v>
      </c>
      <c r="C38" s="4" t="e">
        <f>#REF!</f>
        <v>#REF!</v>
      </c>
      <c r="D38" s="6" t="s">
        <v>7</v>
      </c>
      <c r="E38" s="5" t="e">
        <f>#REF!</f>
        <v>#REF!</v>
      </c>
      <c r="F38" s="5" t="e">
        <f>#REF!</f>
        <v>#REF!</v>
      </c>
      <c r="G38" s="244" t="e">
        <f>#REF!</f>
        <v>#REF!</v>
      </c>
      <c r="H38" s="242"/>
      <c r="I38" s="242"/>
      <c r="J38" s="243"/>
      <c r="K38" s="5" t="e">
        <f>CONCATENATE(B38,"-",E38)</f>
        <v>#REF!</v>
      </c>
      <c r="L38" s="6" t="s">
        <v>7</v>
      </c>
    </row>
    <row r="39" spans="1:12" ht="15.75" customHeight="1" x14ac:dyDescent="0.25">
      <c r="A39" s="3"/>
      <c r="B39" s="4"/>
      <c r="C39" s="4"/>
      <c r="D39" s="6" t="s">
        <v>7</v>
      </c>
      <c r="E39" s="5" t="e">
        <f>#REF!</f>
        <v>#REF!</v>
      </c>
      <c r="F39" s="5" t="e">
        <f>#REF!</f>
        <v>#REF!</v>
      </c>
      <c r="G39" s="244" t="e">
        <f>#REF!</f>
        <v>#REF!</v>
      </c>
      <c r="H39" s="242"/>
      <c r="I39" s="242"/>
      <c r="J39" s="243"/>
      <c r="K39" s="5" t="e">
        <f>CONCATENATE(B38,"-",E39)</f>
        <v>#REF!</v>
      </c>
      <c r="L39" s="6" t="s">
        <v>7</v>
      </c>
    </row>
    <row r="40" spans="1:12" ht="15.75" customHeight="1" x14ac:dyDescent="0.25">
      <c r="A40" s="3">
        <v>24</v>
      </c>
      <c r="B40" s="4" t="e">
        <f>#REF!</f>
        <v>#REF!</v>
      </c>
      <c r="C40" s="4" t="e">
        <f>#REF!</f>
        <v>#REF!</v>
      </c>
      <c r="D40" s="6" t="s">
        <v>7</v>
      </c>
      <c r="E40" s="5" t="e">
        <f>#REF!</f>
        <v>#REF!</v>
      </c>
      <c r="F40" s="5" t="e">
        <f>#REF!</f>
        <v>#REF!</v>
      </c>
      <c r="G40" s="244" t="e">
        <f>#REF!</f>
        <v>#REF!</v>
      </c>
      <c r="H40" s="242"/>
      <c r="I40" s="242"/>
      <c r="J40" s="243"/>
      <c r="K40" s="5" t="e">
        <f>CONCATENATE(B40,"-",E40)</f>
        <v>#REF!</v>
      </c>
      <c r="L40" s="6" t="s">
        <v>7</v>
      </c>
    </row>
    <row r="41" spans="1:12" ht="15.75" customHeight="1" x14ac:dyDescent="0.25">
      <c r="A41" s="3"/>
      <c r="B41" s="4"/>
      <c r="C41" s="4"/>
      <c r="D41" s="6" t="s">
        <v>7</v>
      </c>
      <c r="E41" s="5" t="e">
        <f>#REF!</f>
        <v>#REF!</v>
      </c>
      <c r="F41" s="5" t="e">
        <f>#REF!</f>
        <v>#REF!</v>
      </c>
      <c r="G41" s="244" t="e">
        <f>#REF!</f>
        <v>#REF!</v>
      </c>
      <c r="H41" s="242"/>
      <c r="I41" s="242"/>
      <c r="J41" s="243"/>
      <c r="K41" s="5" t="e">
        <f>CONCATENATE(B40,"-",E41)</f>
        <v>#REF!</v>
      </c>
      <c r="L41" s="6" t="s">
        <v>7</v>
      </c>
    </row>
    <row r="42" spans="1:12" ht="15.75" customHeight="1" x14ac:dyDescent="0.25">
      <c r="A42" s="3">
        <v>25</v>
      </c>
      <c r="B42" s="4" t="e">
        <f>#REF!</f>
        <v>#REF!</v>
      </c>
      <c r="C42" s="5" t="e">
        <f>#REF!</f>
        <v>#REF!</v>
      </c>
      <c r="D42" s="6" t="s">
        <v>7</v>
      </c>
      <c r="E42" s="5" t="e">
        <f>#REF!</f>
        <v>#REF!</v>
      </c>
      <c r="F42" s="5" t="e">
        <f>#REF!</f>
        <v>#REF!</v>
      </c>
      <c r="G42" s="244" t="e">
        <f>#REF!</f>
        <v>#REF!</v>
      </c>
      <c r="H42" s="242"/>
      <c r="I42" s="242"/>
      <c r="J42" s="243"/>
      <c r="K42" s="5" t="e">
        <f t="shared" ref="K42:K45" si="5">CONCATENATE(B42,"-",E42)</f>
        <v>#REF!</v>
      </c>
      <c r="L42" s="6" t="s">
        <v>7</v>
      </c>
    </row>
    <row r="43" spans="1:12" ht="15.75" customHeight="1" x14ac:dyDescent="0.25">
      <c r="A43" s="3">
        <v>26</v>
      </c>
      <c r="B43" s="4" t="e">
        <f>#REF!</f>
        <v>#REF!</v>
      </c>
      <c r="C43" s="5" t="e">
        <f>#REF!</f>
        <v>#REF!</v>
      </c>
      <c r="D43" s="6" t="s">
        <v>7</v>
      </c>
      <c r="E43" s="5" t="e">
        <f>#REF!</f>
        <v>#REF!</v>
      </c>
      <c r="F43" s="5" t="e">
        <f>#REF!</f>
        <v>#REF!</v>
      </c>
      <c r="G43" s="244" t="e">
        <f>#REF!</f>
        <v>#REF!</v>
      </c>
      <c r="H43" s="242"/>
      <c r="I43" s="242"/>
      <c r="J43" s="243"/>
      <c r="K43" s="5" t="e">
        <f t="shared" si="5"/>
        <v>#REF!</v>
      </c>
      <c r="L43" s="6" t="s">
        <v>7</v>
      </c>
    </row>
    <row r="44" spans="1:12" ht="15.75" customHeight="1" x14ac:dyDescent="0.25">
      <c r="A44" s="3">
        <v>27</v>
      </c>
      <c r="B44" s="4" t="e">
        <f>#REF!</f>
        <v>#REF!</v>
      </c>
      <c r="C44" s="5" t="e">
        <f>#REF!</f>
        <v>#REF!</v>
      </c>
      <c r="D44" s="6" t="s">
        <v>7</v>
      </c>
      <c r="E44" s="5" t="e">
        <f>#REF!</f>
        <v>#REF!</v>
      </c>
      <c r="F44" s="5" t="e">
        <f>#REF!</f>
        <v>#REF!</v>
      </c>
      <c r="G44" s="244" t="e">
        <f>#REF!</f>
        <v>#REF!</v>
      </c>
      <c r="H44" s="242"/>
      <c r="I44" s="242"/>
      <c r="J44" s="243"/>
      <c r="K44" s="5" t="e">
        <f t="shared" si="5"/>
        <v>#REF!</v>
      </c>
      <c r="L44" s="6" t="s">
        <v>7</v>
      </c>
    </row>
    <row r="45" spans="1:12" ht="15.75" customHeight="1" x14ac:dyDescent="0.25">
      <c r="A45" s="3">
        <v>28</v>
      </c>
      <c r="B45" s="4" t="e">
        <f>#REF!</f>
        <v>#REF!</v>
      </c>
      <c r="C45" s="4" t="e">
        <f>#REF!</f>
        <v>#REF!</v>
      </c>
      <c r="D45" s="6" t="s">
        <v>7</v>
      </c>
      <c r="E45" s="5" t="e">
        <f>#REF!</f>
        <v>#REF!</v>
      </c>
      <c r="F45" s="5" t="e">
        <f>#REF!</f>
        <v>#REF!</v>
      </c>
      <c r="G45" s="244" t="e">
        <f>#REF!</f>
        <v>#REF!</v>
      </c>
      <c r="H45" s="242"/>
      <c r="I45" s="242"/>
      <c r="J45" s="243"/>
      <c r="K45" s="5" t="e">
        <f t="shared" si="5"/>
        <v>#REF!</v>
      </c>
      <c r="L45" s="6" t="s">
        <v>7</v>
      </c>
    </row>
    <row r="46" spans="1:12" ht="15.75" customHeight="1" x14ac:dyDescent="0.25">
      <c r="A46" s="3"/>
      <c r="B46" s="4"/>
      <c r="C46" s="4"/>
      <c r="D46" s="6" t="s">
        <v>7</v>
      </c>
      <c r="E46" s="5" t="e">
        <f>#REF!</f>
        <v>#REF!</v>
      </c>
      <c r="F46" s="5" t="e">
        <f>#REF!</f>
        <v>#REF!</v>
      </c>
      <c r="G46" s="244" t="e">
        <f>#REF!</f>
        <v>#REF!</v>
      </c>
      <c r="H46" s="242"/>
      <c r="I46" s="242"/>
      <c r="J46" s="243"/>
      <c r="K46" s="5" t="e">
        <f>CONCATENATE(B45,"-",E46)</f>
        <v>#REF!</v>
      </c>
      <c r="L46" s="6" t="s">
        <v>7</v>
      </c>
    </row>
    <row r="47" spans="1:12" ht="15.75" customHeight="1" x14ac:dyDescent="0.25">
      <c r="A47" s="3"/>
      <c r="B47" s="4"/>
      <c r="C47" s="4"/>
      <c r="D47" s="6" t="s">
        <v>7</v>
      </c>
      <c r="E47" s="5" t="e">
        <f>#REF!</f>
        <v>#REF!</v>
      </c>
      <c r="F47" s="5" t="e">
        <f>#REF!</f>
        <v>#REF!</v>
      </c>
      <c r="G47" s="244" t="e">
        <f>#REF!</f>
        <v>#REF!</v>
      </c>
      <c r="H47" s="242"/>
      <c r="I47" s="242"/>
      <c r="J47" s="243"/>
      <c r="K47" s="5" t="e">
        <f>CONCATENATE(B45,"-",E47)</f>
        <v>#REF!</v>
      </c>
      <c r="L47" s="6" t="s">
        <v>7</v>
      </c>
    </row>
    <row r="48" spans="1:12" ht="15.75" customHeight="1" x14ac:dyDescent="0.25">
      <c r="A48" s="3">
        <v>29</v>
      </c>
      <c r="B48" s="4" t="e">
        <f>#REF!</f>
        <v>#REF!</v>
      </c>
      <c r="C48" s="5" t="e">
        <f>#REF!</f>
        <v>#REF!</v>
      </c>
      <c r="D48" s="6" t="s">
        <v>7</v>
      </c>
      <c r="E48" s="5" t="e">
        <f>#REF!</f>
        <v>#REF!</v>
      </c>
      <c r="F48" s="5" t="e">
        <f>#REF!</f>
        <v>#REF!</v>
      </c>
      <c r="G48" s="244" t="e">
        <f>#REF!</f>
        <v>#REF!</v>
      </c>
      <c r="H48" s="242"/>
      <c r="I48" s="242"/>
      <c r="J48" s="243"/>
      <c r="K48" s="5" t="e">
        <f t="shared" ref="K48:K50" si="6">CONCATENATE(B48,"-",E48)</f>
        <v>#REF!</v>
      </c>
      <c r="L48" s="6" t="s">
        <v>7</v>
      </c>
    </row>
    <row r="49" spans="1:12" ht="15.75" customHeight="1" x14ac:dyDescent="0.25">
      <c r="A49" s="3">
        <v>30</v>
      </c>
      <c r="B49" s="4" t="e">
        <f>#REF!</f>
        <v>#REF!</v>
      </c>
      <c r="C49" s="5" t="e">
        <f>#REF!</f>
        <v>#REF!</v>
      </c>
      <c r="D49" s="6" t="s">
        <v>7</v>
      </c>
      <c r="E49" s="5" t="e">
        <f>#REF!</f>
        <v>#REF!</v>
      </c>
      <c r="F49" s="5" t="e">
        <f>#REF!</f>
        <v>#REF!</v>
      </c>
      <c r="G49" s="244" t="e">
        <f>#REF!</f>
        <v>#REF!</v>
      </c>
      <c r="H49" s="242"/>
      <c r="I49" s="242"/>
      <c r="J49" s="243"/>
      <c r="K49" s="5" t="e">
        <f t="shared" si="6"/>
        <v>#REF!</v>
      </c>
      <c r="L49" s="6" t="s">
        <v>7</v>
      </c>
    </row>
    <row r="50" spans="1:12" ht="15.75" customHeight="1" x14ac:dyDescent="0.25">
      <c r="A50" s="8">
        <v>31</v>
      </c>
      <c r="B50" s="9" t="e">
        <f>#REF!</f>
        <v>#REF!</v>
      </c>
      <c r="C50" s="9" t="e">
        <f>#REF!</f>
        <v>#REF!</v>
      </c>
      <c r="D50" s="6" t="s">
        <v>7</v>
      </c>
      <c r="E50" s="5" t="e">
        <f>#REF!</f>
        <v>#REF!</v>
      </c>
      <c r="F50" s="5" t="e">
        <f>#REF!</f>
        <v>#REF!</v>
      </c>
      <c r="G50" s="244" t="e">
        <f>#REF!</f>
        <v>#REF!</v>
      </c>
      <c r="H50" s="242"/>
      <c r="I50" s="242"/>
      <c r="J50" s="243"/>
      <c r="K50" s="5" t="e">
        <f t="shared" si="6"/>
        <v>#REF!</v>
      </c>
      <c r="L50" s="6" t="s">
        <v>7</v>
      </c>
    </row>
    <row r="51" spans="1:12" ht="15.75" customHeight="1" x14ac:dyDescent="0.25">
      <c r="A51" s="23"/>
      <c r="B51" s="22"/>
      <c r="C51" s="22"/>
      <c r="D51" s="6" t="s">
        <v>7</v>
      </c>
      <c r="E51" s="5" t="e">
        <f>#REF!</f>
        <v>#REF!</v>
      </c>
      <c r="F51" s="24" t="e">
        <f>#REF!</f>
        <v>#REF!</v>
      </c>
      <c r="G51" s="244" t="s">
        <v>9</v>
      </c>
      <c r="H51" s="242"/>
      <c r="I51" s="242"/>
      <c r="J51" s="243"/>
      <c r="K51" s="5" t="e">
        <f>CONCATENATE(B50,"-",E51)</f>
        <v>#REF!</v>
      </c>
      <c r="L51" s="6" t="s">
        <v>7</v>
      </c>
    </row>
    <row r="52" spans="1:12" ht="15.75" customHeight="1" x14ac:dyDescent="0.25">
      <c r="A52" s="3">
        <v>32</v>
      </c>
      <c r="B52" s="4" t="e">
        <f>#REF!</f>
        <v>#REF!</v>
      </c>
      <c r="C52" s="5" t="e">
        <f>#REF!</f>
        <v>#REF!</v>
      </c>
      <c r="D52" s="6" t="s">
        <v>7</v>
      </c>
      <c r="E52" s="5" t="e">
        <f>#REF!</f>
        <v>#REF!</v>
      </c>
      <c r="F52" s="5" t="e">
        <f>#REF!</f>
        <v>#REF!</v>
      </c>
      <c r="G52" s="244" t="e">
        <f>#REF!</f>
        <v>#REF!</v>
      </c>
      <c r="H52" s="242"/>
      <c r="I52" s="242"/>
      <c r="J52" s="243"/>
      <c r="K52" s="5" t="e">
        <f t="shared" ref="K52:K53" si="7">CONCATENATE(B52,"-",E52)</f>
        <v>#REF!</v>
      </c>
      <c r="L52" s="6" t="s">
        <v>7</v>
      </c>
    </row>
    <row r="53" spans="1:12" ht="15.75" customHeight="1" x14ac:dyDescent="0.25">
      <c r="A53" s="3">
        <v>33</v>
      </c>
      <c r="B53" s="4" t="e">
        <f>#REF!</f>
        <v>#REF!</v>
      </c>
      <c r="C53" s="4" t="e">
        <f>#REF!</f>
        <v>#REF!</v>
      </c>
      <c r="D53" s="6" t="s">
        <v>7</v>
      </c>
      <c r="E53" s="5" t="e">
        <f>#REF!</f>
        <v>#REF!</v>
      </c>
      <c r="F53" s="5" t="e">
        <f>#REF!</f>
        <v>#REF!</v>
      </c>
      <c r="G53" s="244" t="e">
        <f>#REF!</f>
        <v>#REF!</v>
      </c>
      <c r="H53" s="242"/>
      <c r="I53" s="242"/>
      <c r="J53" s="243"/>
      <c r="K53" s="5" t="e">
        <f t="shared" si="7"/>
        <v>#REF!</v>
      </c>
      <c r="L53" s="6" t="s">
        <v>7</v>
      </c>
    </row>
    <row r="54" spans="1:12" ht="15.75" customHeight="1" x14ac:dyDescent="0.25">
      <c r="A54" s="3"/>
      <c r="B54" s="4"/>
      <c r="C54" s="4"/>
      <c r="D54" s="6" t="s">
        <v>7</v>
      </c>
      <c r="E54" s="5" t="e">
        <f>#REF!</f>
        <v>#REF!</v>
      </c>
      <c r="F54" s="5" t="e">
        <f>#REF!</f>
        <v>#REF!</v>
      </c>
      <c r="G54" s="244" t="e">
        <f>#REF!</f>
        <v>#REF!</v>
      </c>
      <c r="H54" s="242"/>
      <c r="I54" s="242"/>
      <c r="J54" s="243"/>
      <c r="K54" s="5" t="e">
        <f>CONCATENATE(B53,"-",E54)</f>
        <v>#REF!</v>
      </c>
      <c r="L54" s="6" t="s">
        <v>7</v>
      </c>
    </row>
    <row r="55" spans="1:12" ht="15.75" customHeight="1" x14ac:dyDescent="0.25">
      <c r="A55" s="3"/>
      <c r="B55" s="4"/>
      <c r="C55" s="4"/>
      <c r="D55" s="6" t="s">
        <v>7</v>
      </c>
      <c r="E55" s="5" t="e">
        <f>#REF!</f>
        <v>#REF!</v>
      </c>
      <c r="F55" s="5" t="e">
        <f>#REF!</f>
        <v>#REF!</v>
      </c>
      <c r="G55" s="244" t="e">
        <f>#REF!</f>
        <v>#REF!</v>
      </c>
      <c r="H55" s="242"/>
      <c r="I55" s="242"/>
      <c r="J55" s="243"/>
      <c r="K55" s="5" t="e">
        <f>CONCATENATE(B53,"-",E55)</f>
        <v>#REF!</v>
      </c>
      <c r="L55" s="6" t="s">
        <v>7</v>
      </c>
    </row>
    <row r="56" spans="1:12" ht="15.75" customHeight="1" x14ac:dyDescent="0.25">
      <c r="A56" s="3">
        <v>34</v>
      </c>
      <c r="B56" s="4" t="e">
        <f>#REF!</f>
        <v>#REF!</v>
      </c>
      <c r="C56" s="4" t="e">
        <f>#REF!</f>
        <v>#REF!</v>
      </c>
      <c r="D56" s="6" t="s">
        <v>7</v>
      </c>
      <c r="E56" s="5" t="e">
        <f>#REF!</f>
        <v>#REF!</v>
      </c>
      <c r="F56" s="5" t="e">
        <f>#REF!</f>
        <v>#REF!</v>
      </c>
      <c r="G56" s="244" t="e">
        <f>#REF!</f>
        <v>#REF!</v>
      </c>
      <c r="H56" s="242"/>
      <c r="I56" s="242"/>
      <c r="J56" s="243"/>
      <c r="K56" s="5" t="e">
        <f>CONCATENATE(B56,"-",E56)</f>
        <v>#REF!</v>
      </c>
      <c r="L56" s="6" t="s">
        <v>7</v>
      </c>
    </row>
    <row r="57" spans="1:12" ht="15.75" customHeight="1" x14ac:dyDescent="0.25">
      <c r="A57" s="3"/>
      <c r="B57" s="4"/>
      <c r="C57" s="4"/>
      <c r="D57" s="6" t="s">
        <v>7</v>
      </c>
      <c r="E57" s="5" t="e">
        <f>#REF!</f>
        <v>#REF!</v>
      </c>
      <c r="F57" s="5" t="e">
        <f>#REF!</f>
        <v>#REF!</v>
      </c>
      <c r="G57" s="244" t="e">
        <f>#REF!</f>
        <v>#REF!</v>
      </c>
      <c r="H57" s="242"/>
      <c r="I57" s="242"/>
      <c r="J57" s="243"/>
      <c r="K57" s="5" t="e">
        <f>CONCATENATE(B56,"-",E57)</f>
        <v>#REF!</v>
      </c>
      <c r="L57" s="6" t="s">
        <v>7</v>
      </c>
    </row>
    <row r="58" spans="1:12" ht="15.75" customHeight="1" x14ac:dyDescent="0.25">
      <c r="A58" s="3">
        <v>35</v>
      </c>
      <c r="B58" s="4" t="e">
        <f>#REF!</f>
        <v>#REF!</v>
      </c>
      <c r="C58" s="5" t="e">
        <f>#REF!</f>
        <v>#REF!</v>
      </c>
      <c r="D58" s="6" t="s">
        <v>7</v>
      </c>
      <c r="E58" s="5" t="e">
        <f>#REF!</f>
        <v>#REF!</v>
      </c>
      <c r="F58" s="5" t="e">
        <f>#REF!</f>
        <v>#REF!</v>
      </c>
      <c r="G58" s="244" t="e">
        <f>#REF!</f>
        <v>#REF!</v>
      </c>
      <c r="H58" s="242"/>
      <c r="I58" s="242"/>
      <c r="J58" s="243"/>
      <c r="K58" s="5" t="e">
        <f t="shared" ref="K58:K61" si="8">CONCATENATE(B58,"-",E58)</f>
        <v>#REF!</v>
      </c>
      <c r="L58" s="6" t="s">
        <v>7</v>
      </c>
    </row>
    <row r="59" spans="1:12" ht="15.75" customHeight="1" x14ac:dyDescent="0.25">
      <c r="A59" s="3">
        <v>36</v>
      </c>
      <c r="B59" s="4" t="e">
        <f>#REF!</f>
        <v>#REF!</v>
      </c>
      <c r="C59" s="5" t="e">
        <f>#REF!</f>
        <v>#REF!</v>
      </c>
      <c r="D59" s="6" t="s">
        <v>7</v>
      </c>
      <c r="E59" s="5" t="e">
        <f>#REF!</f>
        <v>#REF!</v>
      </c>
      <c r="F59" s="5" t="e">
        <f>#REF!</f>
        <v>#REF!</v>
      </c>
      <c r="G59" s="244" t="e">
        <f>#REF!</f>
        <v>#REF!</v>
      </c>
      <c r="H59" s="242"/>
      <c r="I59" s="242"/>
      <c r="J59" s="243"/>
      <c r="K59" s="5" t="e">
        <f t="shared" si="8"/>
        <v>#REF!</v>
      </c>
      <c r="L59" s="6" t="s">
        <v>7</v>
      </c>
    </row>
    <row r="60" spans="1:12" ht="15.75" customHeight="1" x14ac:dyDescent="0.25">
      <c r="A60" s="10">
        <v>37</v>
      </c>
      <c r="B60" s="11" t="e">
        <f>#REF!</f>
        <v>#REF!</v>
      </c>
      <c r="C60" s="12" t="e">
        <f>#REF!</f>
        <v>#REF!</v>
      </c>
      <c r="D60" s="13" t="s">
        <v>13</v>
      </c>
      <c r="E60" s="12" t="e">
        <f>#REF!</f>
        <v>#REF!</v>
      </c>
      <c r="F60" s="12" t="e">
        <f>#REF!</f>
        <v>#REF!</v>
      </c>
      <c r="G60" s="241" t="e">
        <f>#REF!</f>
        <v>#REF!</v>
      </c>
      <c r="H60" s="242"/>
      <c r="I60" s="242"/>
      <c r="J60" s="243"/>
      <c r="K60" s="12" t="e">
        <f t="shared" si="8"/>
        <v>#REF!</v>
      </c>
      <c r="L60" s="21" t="s">
        <v>18</v>
      </c>
    </row>
    <row r="61" spans="1:12" ht="15.75" customHeight="1" x14ac:dyDescent="0.25">
      <c r="A61" s="10">
        <v>38</v>
      </c>
      <c r="B61" s="11" t="e">
        <f>#REF!</f>
        <v>#REF!</v>
      </c>
      <c r="C61" s="11" t="e">
        <f>#REF!</f>
        <v>#REF!</v>
      </c>
      <c r="D61" s="13" t="s">
        <v>13</v>
      </c>
      <c r="E61" s="12" t="e">
        <f>#REF!</f>
        <v>#REF!</v>
      </c>
      <c r="F61" s="12" t="e">
        <f>#REF!</f>
        <v>#REF!</v>
      </c>
      <c r="G61" s="241" t="e">
        <f>#REF!</f>
        <v>#REF!</v>
      </c>
      <c r="H61" s="242"/>
      <c r="I61" s="242"/>
      <c r="J61" s="243"/>
      <c r="K61" s="12" t="e">
        <f t="shared" si="8"/>
        <v>#REF!</v>
      </c>
      <c r="L61" s="21" t="s">
        <v>19</v>
      </c>
    </row>
    <row r="62" spans="1:12" ht="15.75" customHeight="1" x14ac:dyDescent="0.25">
      <c r="A62" s="10"/>
      <c r="B62" s="11"/>
      <c r="C62" s="11"/>
      <c r="D62" s="13" t="s">
        <v>13</v>
      </c>
      <c r="E62" s="12" t="e">
        <f>#REF!</f>
        <v>#REF!</v>
      </c>
      <c r="F62" s="12" t="e">
        <f>#REF!</f>
        <v>#REF!</v>
      </c>
      <c r="G62" s="241" t="e">
        <f>#REF!</f>
        <v>#REF!</v>
      </c>
      <c r="H62" s="242"/>
      <c r="I62" s="242"/>
      <c r="J62" s="243"/>
      <c r="K62" s="12" t="e">
        <f>CONCATENATE(B61,"-",E62)</f>
        <v>#REF!</v>
      </c>
      <c r="L62" s="21" t="s">
        <v>20</v>
      </c>
    </row>
    <row r="63" spans="1:12" ht="15.75" customHeight="1" x14ac:dyDescent="0.25">
      <c r="A63" s="10"/>
      <c r="B63" s="11"/>
      <c r="C63" s="11"/>
      <c r="D63" s="13" t="s">
        <v>13</v>
      </c>
      <c r="E63" s="12" t="e">
        <f>#REF!</f>
        <v>#REF!</v>
      </c>
      <c r="F63" s="12" t="e">
        <f>#REF!</f>
        <v>#REF!</v>
      </c>
      <c r="G63" s="241" t="e">
        <f>#REF!</f>
        <v>#REF!</v>
      </c>
      <c r="H63" s="242"/>
      <c r="I63" s="242"/>
      <c r="J63" s="243"/>
      <c r="K63" s="12" t="e">
        <f>CONCATENATE(B61,"-",E63)</f>
        <v>#REF!</v>
      </c>
      <c r="L63" s="21" t="s">
        <v>20</v>
      </c>
    </row>
    <row r="64" spans="1:12" ht="15.75" customHeight="1" x14ac:dyDescent="0.25">
      <c r="A64" s="10">
        <v>39</v>
      </c>
      <c r="B64" s="11" t="e">
        <f>#REF!</f>
        <v>#REF!</v>
      </c>
      <c r="C64" s="11" t="e">
        <f>#REF!</f>
        <v>#REF!</v>
      </c>
      <c r="D64" s="13" t="s">
        <v>13</v>
      </c>
      <c r="E64" s="12" t="e">
        <f>#REF!</f>
        <v>#REF!</v>
      </c>
      <c r="F64" s="12" t="e">
        <f>#REF!</f>
        <v>#REF!</v>
      </c>
      <c r="G64" s="241" t="e">
        <f>#REF!</f>
        <v>#REF!</v>
      </c>
      <c r="H64" s="242"/>
      <c r="I64" s="242"/>
      <c r="J64" s="243"/>
      <c r="K64" s="12" t="e">
        <f>CONCATENATE(B64,"-",E64)</f>
        <v>#REF!</v>
      </c>
      <c r="L64" s="21" t="s">
        <v>21</v>
      </c>
    </row>
    <row r="65" spans="1:12" ht="15.75" customHeight="1" x14ac:dyDescent="0.25">
      <c r="A65" s="10"/>
      <c r="B65" s="11"/>
      <c r="C65" s="11"/>
      <c r="D65" s="13" t="s">
        <v>13</v>
      </c>
      <c r="E65" s="12" t="e">
        <f>#REF!</f>
        <v>#REF!</v>
      </c>
      <c r="F65" s="12" t="e">
        <f>#REF!</f>
        <v>#REF!</v>
      </c>
      <c r="G65" s="241" t="e">
        <f>#REF!</f>
        <v>#REF!</v>
      </c>
      <c r="H65" s="242"/>
      <c r="I65" s="242"/>
      <c r="J65" s="243"/>
      <c r="K65" s="12" t="e">
        <f>CONCATENATE(B64,"-",E65)</f>
        <v>#REF!</v>
      </c>
      <c r="L65" s="21" t="s">
        <v>22</v>
      </c>
    </row>
    <row r="66" spans="1:12" ht="15.75" customHeight="1" x14ac:dyDescent="0.25">
      <c r="A66" s="10">
        <v>40</v>
      </c>
      <c r="B66" s="11" t="e">
        <f>#REF!</f>
        <v>#REF!</v>
      </c>
      <c r="C66" s="11" t="e">
        <f>#REF!</f>
        <v>#REF!</v>
      </c>
      <c r="D66" s="13" t="s">
        <v>13</v>
      </c>
      <c r="E66" s="12" t="e">
        <f>#REF!</f>
        <v>#REF!</v>
      </c>
      <c r="F66" s="12" t="e">
        <f>#REF!</f>
        <v>#REF!</v>
      </c>
      <c r="G66" s="241" t="e">
        <f>#REF!</f>
        <v>#REF!</v>
      </c>
      <c r="H66" s="242"/>
      <c r="I66" s="242"/>
      <c r="J66" s="243"/>
      <c r="K66" s="12" t="e">
        <f>CONCATENATE(B66,"-",E66)</f>
        <v>#REF!</v>
      </c>
      <c r="L66" s="21" t="s">
        <v>23</v>
      </c>
    </row>
    <row r="67" spans="1:12" ht="15.75" customHeight="1" x14ac:dyDescent="0.25">
      <c r="A67" s="10"/>
      <c r="B67" s="11"/>
      <c r="C67" s="11"/>
      <c r="D67" s="13" t="s">
        <v>13</v>
      </c>
      <c r="E67" s="12" t="e">
        <f>#REF!</f>
        <v>#REF!</v>
      </c>
      <c r="F67" s="12" t="e">
        <f>#REF!</f>
        <v>#REF!</v>
      </c>
      <c r="G67" s="241" t="e">
        <f>#REF!</f>
        <v>#REF!</v>
      </c>
      <c r="H67" s="242"/>
      <c r="I67" s="242"/>
      <c r="J67" s="243"/>
      <c r="K67" s="12" t="e">
        <f>CONCATENATE(B66,"-",E67)</f>
        <v>#REF!</v>
      </c>
      <c r="L67" s="21" t="s">
        <v>24</v>
      </c>
    </row>
    <row r="68" spans="1:12" ht="15.75" customHeight="1" x14ac:dyDescent="0.25">
      <c r="A68" s="10">
        <v>41</v>
      </c>
      <c r="B68" s="11" t="e">
        <f>#REF!</f>
        <v>#REF!</v>
      </c>
      <c r="C68" s="11" t="e">
        <f>#REF!</f>
        <v>#REF!</v>
      </c>
      <c r="D68" s="13" t="s">
        <v>13</v>
      </c>
      <c r="E68" s="12" t="e">
        <f>#REF!</f>
        <v>#REF!</v>
      </c>
      <c r="F68" s="12" t="e">
        <f>#REF!</f>
        <v>#REF!</v>
      </c>
      <c r="G68" s="241" t="e">
        <f>#REF!</f>
        <v>#REF!</v>
      </c>
      <c r="H68" s="242"/>
      <c r="I68" s="242"/>
      <c r="J68" s="243"/>
      <c r="K68" s="12" t="e">
        <f>CONCATENATE(B68,"-",E68)</f>
        <v>#REF!</v>
      </c>
      <c r="L68" s="21" t="s">
        <v>25</v>
      </c>
    </row>
    <row r="69" spans="1:12" ht="15.75" customHeight="1" x14ac:dyDescent="0.25">
      <c r="A69" s="10"/>
      <c r="B69" s="11"/>
      <c r="C69" s="11"/>
      <c r="D69" s="13" t="s">
        <v>13</v>
      </c>
      <c r="E69" s="12" t="e">
        <f>#REF!</f>
        <v>#REF!</v>
      </c>
      <c r="F69" s="12" t="e">
        <f>#REF!</f>
        <v>#REF!</v>
      </c>
      <c r="G69" s="241" t="e">
        <f>#REF!</f>
        <v>#REF!</v>
      </c>
      <c r="H69" s="242"/>
      <c r="I69" s="242"/>
      <c r="J69" s="243"/>
      <c r="K69" s="12" t="e">
        <f>CONCATENATE(B68,"-",E69)</f>
        <v>#REF!</v>
      </c>
      <c r="L69" s="21" t="s">
        <v>26</v>
      </c>
    </row>
    <row r="70" spans="1:12" ht="15.75" customHeight="1" x14ac:dyDescent="0.25">
      <c r="A70" s="10">
        <v>42</v>
      </c>
      <c r="B70" s="11" t="e">
        <f>#REF!</f>
        <v>#REF!</v>
      </c>
      <c r="C70" s="12" t="e">
        <f>#REF!</f>
        <v>#REF!</v>
      </c>
      <c r="D70" s="13" t="s">
        <v>13</v>
      </c>
      <c r="E70" s="12" t="e">
        <f>#REF!</f>
        <v>#REF!</v>
      </c>
      <c r="F70" s="12" t="e">
        <f>#REF!</f>
        <v>#REF!</v>
      </c>
      <c r="G70" s="241" t="e">
        <f>#REF!</f>
        <v>#REF!</v>
      </c>
      <c r="H70" s="242"/>
      <c r="I70" s="242"/>
      <c r="J70" s="243"/>
      <c r="K70" s="12" t="e">
        <f t="shared" ref="K70:K72" si="9">CONCATENATE(B70,"-",E70)</f>
        <v>#REF!</v>
      </c>
      <c r="L70" s="21" t="s">
        <v>27</v>
      </c>
    </row>
    <row r="71" spans="1:12" ht="15.75" customHeight="1" x14ac:dyDescent="0.25">
      <c r="A71" s="10">
        <v>43</v>
      </c>
      <c r="B71" s="11" t="e">
        <f>#REF!</f>
        <v>#REF!</v>
      </c>
      <c r="C71" s="12" t="e">
        <f>#REF!</f>
        <v>#REF!</v>
      </c>
      <c r="D71" s="13" t="s">
        <v>13</v>
      </c>
      <c r="E71" s="12" t="e">
        <f>#REF!</f>
        <v>#REF!</v>
      </c>
      <c r="F71" s="12" t="e">
        <f>#REF!</f>
        <v>#REF!</v>
      </c>
      <c r="G71" s="241" t="e">
        <f>#REF!</f>
        <v>#REF!</v>
      </c>
      <c r="H71" s="242"/>
      <c r="I71" s="242"/>
      <c r="J71" s="243"/>
      <c r="K71" s="12" t="e">
        <f t="shared" si="9"/>
        <v>#REF!</v>
      </c>
      <c r="L71" s="21" t="s">
        <v>28</v>
      </c>
    </row>
    <row r="72" spans="1:12" ht="15.75" customHeight="1" x14ac:dyDescent="0.25">
      <c r="A72" s="10">
        <v>44</v>
      </c>
      <c r="B72" s="11" t="e">
        <f>#REF!</f>
        <v>#REF!</v>
      </c>
      <c r="C72" s="11" t="e">
        <f>#REF!</f>
        <v>#REF!</v>
      </c>
      <c r="D72" s="13" t="s">
        <v>13</v>
      </c>
      <c r="E72" s="12" t="e">
        <f>#REF!</f>
        <v>#REF!</v>
      </c>
      <c r="F72" s="12" t="e">
        <f>#REF!</f>
        <v>#REF!</v>
      </c>
      <c r="G72" s="241" t="e">
        <f>#REF!</f>
        <v>#REF!</v>
      </c>
      <c r="H72" s="242"/>
      <c r="I72" s="242"/>
      <c r="J72" s="243"/>
      <c r="K72" s="12" t="e">
        <f t="shared" si="9"/>
        <v>#REF!</v>
      </c>
      <c r="L72" s="21" t="s">
        <v>29</v>
      </c>
    </row>
    <row r="73" spans="1:12" ht="15.75" customHeight="1" x14ac:dyDescent="0.25">
      <c r="A73" s="10"/>
      <c r="B73" s="11"/>
      <c r="C73" s="11"/>
      <c r="D73" s="13" t="s">
        <v>13</v>
      </c>
      <c r="E73" s="12" t="e">
        <f>#REF!</f>
        <v>#REF!</v>
      </c>
      <c r="F73" s="12" t="e">
        <f>#REF!</f>
        <v>#REF!</v>
      </c>
      <c r="G73" s="241" t="e">
        <f>#REF!</f>
        <v>#REF!</v>
      </c>
      <c r="H73" s="242"/>
      <c r="I73" s="242"/>
      <c r="J73" s="243"/>
      <c r="K73" s="12" t="e">
        <f>CONCATENATE(B72,"-",E73)</f>
        <v>#REF!</v>
      </c>
      <c r="L73" s="21" t="s">
        <v>30</v>
      </c>
    </row>
    <row r="74" spans="1:12" ht="15.75" customHeight="1" x14ac:dyDescent="0.25">
      <c r="A74" s="10">
        <v>45</v>
      </c>
      <c r="B74" s="11" t="e">
        <f>#REF!</f>
        <v>#REF!</v>
      </c>
      <c r="C74" s="11" t="e">
        <f>#REF!</f>
        <v>#REF!</v>
      </c>
      <c r="D74" s="13" t="s">
        <v>13</v>
      </c>
      <c r="E74" s="12" t="e">
        <f>#REF!</f>
        <v>#REF!</v>
      </c>
      <c r="F74" s="12" t="e">
        <f>#REF!</f>
        <v>#REF!</v>
      </c>
      <c r="G74" s="241" t="e">
        <f>#REF!</f>
        <v>#REF!</v>
      </c>
      <c r="H74" s="242"/>
      <c r="I74" s="242"/>
      <c r="J74" s="243"/>
      <c r="K74" s="12" t="e">
        <f>CONCATENATE(B74,"-",E74)</f>
        <v>#REF!</v>
      </c>
      <c r="L74" s="21" t="s">
        <v>31</v>
      </c>
    </row>
    <row r="75" spans="1:12" ht="15.75" customHeight="1" x14ac:dyDescent="0.25">
      <c r="A75" s="10"/>
      <c r="B75" s="11"/>
      <c r="C75" s="11"/>
      <c r="D75" s="13" t="s">
        <v>13</v>
      </c>
      <c r="E75" s="12" t="e">
        <f>#REF!</f>
        <v>#REF!</v>
      </c>
      <c r="F75" s="12" t="e">
        <f>#REF!</f>
        <v>#REF!</v>
      </c>
      <c r="G75" s="241" t="e">
        <f>#REF!</f>
        <v>#REF!</v>
      </c>
      <c r="H75" s="242"/>
      <c r="I75" s="242"/>
      <c r="J75" s="243"/>
      <c r="K75" s="12" t="e">
        <f>CONCATENATE(B74,"-",E75)</f>
        <v>#REF!</v>
      </c>
      <c r="L75" s="21" t="s">
        <v>32</v>
      </c>
    </row>
    <row r="76" spans="1:12" ht="15.75" customHeight="1" x14ac:dyDescent="0.25">
      <c r="A76" s="10">
        <v>46</v>
      </c>
      <c r="B76" s="11" t="e">
        <f>#REF!</f>
        <v>#REF!</v>
      </c>
      <c r="C76" s="12" t="e">
        <f>#REF!</f>
        <v>#REF!</v>
      </c>
      <c r="D76" s="13" t="s">
        <v>13</v>
      </c>
      <c r="E76" s="12" t="e">
        <f>#REF!</f>
        <v>#REF!</v>
      </c>
      <c r="F76" s="12" t="e">
        <f>#REF!</f>
        <v>#REF!</v>
      </c>
      <c r="G76" s="241" t="e">
        <f>#REF!</f>
        <v>#REF!</v>
      </c>
      <c r="H76" s="242"/>
      <c r="I76" s="242"/>
      <c r="J76" s="243"/>
      <c r="K76" s="12" t="e">
        <f t="shared" ref="K76:K79" si="10">CONCATENATE(B76,"-",E76)</f>
        <v>#REF!</v>
      </c>
      <c r="L76" s="21" t="s">
        <v>33</v>
      </c>
    </row>
    <row r="77" spans="1:12" ht="15.75" customHeight="1" x14ac:dyDescent="0.25">
      <c r="A77" s="10">
        <v>47</v>
      </c>
      <c r="B77" s="11" t="e">
        <f>#REF!</f>
        <v>#REF!</v>
      </c>
      <c r="C77" s="12" t="e">
        <f>#REF!</f>
        <v>#REF!</v>
      </c>
      <c r="D77" s="13" t="s">
        <v>13</v>
      </c>
      <c r="E77" s="12" t="e">
        <f>#REF!</f>
        <v>#REF!</v>
      </c>
      <c r="F77" s="12" t="e">
        <f>#REF!</f>
        <v>#REF!</v>
      </c>
      <c r="G77" s="241" t="e">
        <f>#REF!</f>
        <v>#REF!</v>
      </c>
      <c r="H77" s="242"/>
      <c r="I77" s="242"/>
      <c r="J77" s="243"/>
      <c r="K77" s="12" t="e">
        <f t="shared" si="10"/>
        <v>#REF!</v>
      </c>
      <c r="L77" s="21" t="s">
        <v>34</v>
      </c>
    </row>
    <row r="78" spans="1:12" ht="15.75" customHeight="1" x14ac:dyDescent="0.25">
      <c r="A78" s="10">
        <v>48</v>
      </c>
      <c r="B78" s="11" t="e">
        <f>#REF!</f>
        <v>#REF!</v>
      </c>
      <c r="C78" s="12" t="e">
        <f>#REF!</f>
        <v>#REF!</v>
      </c>
      <c r="D78" s="13" t="s">
        <v>13</v>
      </c>
      <c r="E78" s="12" t="e">
        <f>#REF!</f>
        <v>#REF!</v>
      </c>
      <c r="F78" s="12" t="e">
        <f>#REF!</f>
        <v>#REF!</v>
      </c>
      <c r="G78" s="241" t="e">
        <f>#REF!</f>
        <v>#REF!</v>
      </c>
      <c r="H78" s="242"/>
      <c r="I78" s="242"/>
      <c r="J78" s="243"/>
      <c r="K78" s="12" t="e">
        <f t="shared" si="10"/>
        <v>#REF!</v>
      </c>
      <c r="L78" s="21" t="s">
        <v>35</v>
      </c>
    </row>
    <row r="79" spans="1:12" ht="15.75" customHeight="1" x14ac:dyDescent="0.25">
      <c r="A79" s="10">
        <v>49</v>
      </c>
      <c r="B79" s="11" t="e">
        <f>#REF!</f>
        <v>#REF!</v>
      </c>
      <c r="C79" s="11" t="e">
        <f>#REF!</f>
        <v>#REF!</v>
      </c>
      <c r="D79" s="13" t="s">
        <v>13</v>
      </c>
      <c r="E79" s="12" t="e">
        <f>#REF!</f>
        <v>#REF!</v>
      </c>
      <c r="F79" s="12" t="e">
        <f>#REF!</f>
        <v>#REF!</v>
      </c>
      <c r="G79" s="241" t="e">
        <f>#REF!</f>
        <v>#REF!</v>
      </c>
      <c r="H79" s="242"/>
      <c r="I79" s="242"/>
      <c r="J79" s="243"/>
      <c r="K79" s="12" t="e">
        <f t="shared" si="10"/>
        <v>#REF!</v>
      </c>
      <c r="L79" s="21" t="s">
        <v>36</v>
      </c>
    </row>
    <row r="80" spans="1:12" ht="15.75" customHeight="1" x14ac:dyDescent="0.25">
      <c r="A80" s="10"/>
      <c r="B80" s="11"/>
      <c r="C80" s="11"/>
      <c r="D80" s="13" t="s">
        <v>13</v>
      </c>
      <c r="E80" s="12" t="e">
        <f>#REF!</f>
        <v>#REF!</v>
      </c>
      <c r="F80" s="12" t="e">
        <f>#REF!</f>
        <v>#REF!</v>
      </c>
      <c r="G80" s="241" t="e">
        <f>#REF!</f>
        <v>#REF!</v>
      </c>
      <c r="H80" s="242"/>
      <c r="I80" s="242"/>
      <c r="J80" s="243"/>
      <c r="K80" s="12" t="e">
        <f>CONCATENATE(B79,"-",E80)</f>
        <v>#REF!</v>
      </c>
      <c r="L80" s="21" t="s">
        <v>37</v>
      </c>
    </row>
    <row r="81" spans="1:12" ht="15.75" customHeight="1" x14ac:dyDescent="0.25">
      <c r="A81" s="10"/>
      <c r="B81" s="11"/>
      <c r="C81" s="11"/>
      <c r="D81" s="13" t="s">
        <v>13</v>
      </c>
      <c r="E81" s="12" t="e">
        <f>#REF!</f>
        <v>#REF!</v>
      </c>
      <c r="F81" s="12" t="e">
        <f>#REF!</f>
        <v>#REF!</v>
      </c>
      <c r="G81" s="241" t="e">
        <f>#REF!</f>
        <v>#REF!</v>
      </c>
      <c r="H81" s="242"/>
      <c r="I81" s="242"/>
      <c r="J81" s="243"/>
      <c r="K81" s="12" t="e">
        <f>CONCATENATE(B79,"-",E81)</f>
        <v>#REF!</v>
      </c>
      <c r="L81" s="21" t="s">
        <v>38</v>
      </c>
    </row>
    <row r="82" spans="1:12" ht="15.75" customHeight="1" x14ac:dyDescent="0.25">
      <c r="A82" s="10"/>
      <c r="B82" s="11"/>
      <c r="C82" s="11"/>
      <c r="D82" s="13" t="s">
        <v>13</v>
      </c>
      <c r="E82" s="12" t="e">
        <f>#REF!</f>
        <v>#REF!</v>
      </c>
      <c r="F82" s="12" t="e">
        <f>#REF!</f>
        <v>#REF!</v>
      </c>
      <c r="G82" s="241" t="e">
        <f>#REF!</f>
        <v>#REF!</v>
      </c>
      <c r="H82" s="242"/>
      <c r="I82" s="242"/>
      <c r="J82" s="243"/>
      <c r="K82" s="12" t="e">
        <f>CONCATENATE(B79,"-",E82)</f>
        <v>#REF!</v>
      </c>
      <c r="L82" s="21" t="s">
        <v>39</v>
      </c>
    </row>
    <row r="83" spans="1:12" ht="15.75" customHeight="1" x14ac:dyDescent="0.25">
      <c r="A83" s="10">
        <v>50</v>
      </c>
      <c r="B83" s="11" t="e">
        <f>#REF!</f>
        <v>#REF!</v>
      </c>
      <c r="C83" s="11" t="e">
        <f>#REF!</f>
        <v>#REF!</v>
      </c>
      <c r="D83" s="13" t="s">
        <v>13</v>
      </c>
      <c r="E83" s="12" t="e">
        <f>#REF!</f>
        <v>#REF!</v>
      </c>
      <c r="F83" s="12" t="e">
        <f>#REF!</f>
        <v>#REF!</v>
      </c>
      <c r="G83" s="241" t="e">
        <f>#REF!</f>
        <v>#REF!</v>
      </c>
      <c r="H83" s="242"/>
      <c r="I83" s="242"/>
      <c r="J83" s="243"/>
      <c r="K83" s="12" t="e">
        <f>CONCATENATE(B83,"-",E83)</f>
        <v>#REF!</v>
      </c>
      <c r="L83" s="21" t="s">
        <v>40</v>
      </c>
    </row>
    <row r="84" spans="1:12" ht="15.75" customHeight="1" x14ac:dyDescent="0.25">
      <c r="A84" s="10"/>
      <c r="B84" s="11"/>
      <c r="C84" s="11"/>
      <c r="D84" s="13" t="s">
        <v>13</v>
      </c>
      <c r="E84" s="12" t="e">
        <f>#REF!</f>
        <v>#REF!</v>
      </c>
      <c r="F84" s="12" t="e">
        <f>#REF!</f>
        <v>#REF!</v>
      </c>
      <c r="G84" s="241" t="e">
        <f>#REF!</f>
        <v>#REF!</v>
      </c>
      <c r="H84" s="242"/>
      <c r="I84" s="242"/>
      <c r="J84" s="243"/>
      <c r="K84" s="12" t="e">
        <f>CONCATENATE(B83,"-",E84)</f>
        <v>#REF!</v>
      </c>
      <c r="L84" s="21" t="s">
        <v>41</v>
      </c>
    </row>
    <row r="85" spans="1:12" ht="15.75" customHeight="1" x14ac:dyDescent="0.25">
      <c r="A85" s="10"/>
      <c r="B85" s="11"/>
      <c r="C85" s="11"/>
      <c r="D85" s="13" t="s">
        <v>13</v>
      </c>
      <c r="E85" s="12" t="e">
        <f>#REF!</f>
        <v>#REF!</v>
      </c>
      <c r="F85" s="12" t="e">
        <f>#REF!</f>
        <v>#REF!</v>
      </c>
      <c r="G85" s="241" t="e">
        <f>#REF!</f>
        <v>#REF!</v>
      </c>
      <c r="H85" s="242"/>
      <c r="I85" s="242"/>
      <c r="J85" s="243"/>
      <c r="K85" s="12" t="e">
        <f>CONCATENATE(B83,"-",E85)</f>
        <v>#REF!</v>
      </c>
      <c r="L85" s="21" t="s">
        <v>42</v>
      </c>
    </row>
    <row r="86" spans="1:12" ht="15.75" customHeight="1" x14ac:dyDescent="0.25">
      <c r="A86" s="10">
        <v>51</v>
      </c>
      <c r="B86" s="11" t="e">
        <f>#REF!</f>
        <v>#REF!</v>
      </c>
      <c r="C86" s="11" t="e">
        <f>#REF!</f>
        <v>#REF!</v>
      </c>
      <c r="D86" s="13" t="s">
        <v>13</v>
      </c>
      <c r="E86" s="12" t="e">
        <f>#REF!</f>
        <v>#REF!</v>
      </c>
      <c r="F86" s="12" t="e">
        <f>#REF!</f>
        <v>#REF!</v>
      </c>
      <c r="G86" s="241" t="e">
        <f>#REF!</f>
        <v>#REF!</v>
      </c>
      <c r="H86" s="242"/>
      <c r="I86" s="242"/>
      <c r="J86" s="243"/>
      <c r="K86" s="12" t="e">
        <f>CONCATENATE(B86,"-",E86)</f>
        <v>#REF!</v>
      </c>
      <c r="L86" s="21" t="s">
        <v>43</v>
      </c>
    </row>
    <row r="87" spans="1:12" ht="15.75" customHeight="1" x14ac:dyDescent="0.25">
      <c r="A87" s="10"/>
      <c r="B87" s="11"/>
      <c r="C87" s="11"/>
      <c r="D87" s="13" t="s">
        <v>13</v>
      </c>
      <c r="E87" s="12" t="e">
        <f>#REF!</f>
        <v>#REF!</v>
      </c>
      <c r="F87" s="12" t="e">
        <f>#REF!</f>
        <v>#REF!</v>
      </c>
      <c r="G87" s="241" t="e">
        <f>#REF!</f>
        <v>#REF!</v>
      </c>
      <c r="H87" s="242"/>
      <c r="I87" s="242"/>
      <c r="J87" s="243"/>
      <c r="K87" s="12" t="e">
        <f>CONCATENATE(B86,"-",E87)</f>
        <v>#REF!</v>
      </c>
      <c r="L87" s="21" t="s">
        <v>44</v>
      </c>
    </row>
    <row r="88" spans="1:12" ht="15.75" customHeight="1" x14ac:dyDescent="0.25">
      <c r="A88" s="10"/>
      <c r="B88" s="11"/>
      <c r="C88" s="11"/>
      <c r="D88" s="13" t="s">
        <v>13</v>
      </c>
      <c r="E88" s="12" t="e">
        <f>#REF!</f>
        <v>#REF!</v>
      </c>
      <c r="F88" s="12" t="e">
        <f>#REF!</f>
        <v>#REF!</v>
      </c>
      <c r="G88" s="241" t="e">
        <f>#REF!</f>
        <v>#REF!</v>
      </c>
      <c r="H88" s="242"/>
      <c r="I88" s="242"/>
      <c r="J88" s="243"/>
      <c r="K88" s="12" t="e">
        <f>CONCATENATE(B86,"-",E88)</f>
        <v>#REF!</v>
      </c>
      <c r="L88" s="21" t="s">
        <v>45</v>
      </c>
    </row>
    <row r="89" spans="1:12" ht="15.75" customHeight="1" x14ac:dyDescent="0.25">
      <c r="A89" s="10">
        <v>52</v>
      </c>
      <c r="B89" s="11" t="e">
        <f>#REF!</f>
        <v>#REF!</v>
      </c>
      <c r="C89" s="11" t="e">
        <f>#REF!</f>
        <v>#REF!</v>
      </c>
      <c r="D89" s="13" t="s">
        <v>13</v>
      </c>
      <c r="E89" s="12" t="e">
        <f>#REF!</f>
        <v>#REF!</v>
      </c>
      <c r="F89" s="12" t="e">
        <f>#REF!</f>
        <v>#REF!</v>
      </c>
      <c r="G89" s="241" t="e">
        <f>#REF!</f>
        <v>#REF!</v>
      </c>
      <c r="H89" s="242"/>
      <c r="I89" s="242"/>
      <c r="J89" s="243"/>
      <c r="K89" s="12" t="e">
        <f>CONCATENATE(B89,"-",E89)</f>
        <v>#REF!</v>
      </c>
      <c r="L89" s="21" t="s">
        <v>46</v>
      </c>
    </row>
    <row r="90" spans="1:12" ht="15.75" customHeight="1" x14ac:dyDescent="0.25">
      <c r="A90" s="10"/>
      <c r="B90" s="11"/>
      <c r="C90" s="11"/>
      <c r="D90" s="13" t="s">
        <v>13</v>
      </c>
      <c r="E90" s="12" t="e">
        <f>#REF!</f>
        <v>#REF!</v>
      </c>
      <c r="F90" s="12" t="e">
        <f>#REF!</f>
        <v>#REF!</v>
      </c>
      <c r="G90" s="241" t="e">
        <f>#REF!</f>
        <v>#REF!</v>
      </c>
      <c r="H90" s="242"/>
      <c r="I90" s="242"/>
      <c r="J90" s="243"/>
      <c r="K90" s="12" t="e">
        <f>CONCATENATE(B89,"-",E90)</f>
        <v>#REF!</v>
      </c>
      <c r="L90" s="21" t="s">
        <v>47</v>
      </c>
    </row>
    <row r="91" spans="1:12" ht="15.75" customHeight="1" x14ac:dyDescent="0.25">
      <c r="A91" s="10">
        <v>53</v>
      </c>
      <c r="B91" s="11" t="e">
        <f>#REF!</f>
        <v>#REF!</v>
      </c>
      <c r="C91" s="11" t="e">
        <f>#REF!</f>
        <v>#REF!</v>
      </c>
      <c r="D91" s="13" t="s">
        <v>13</v>
      </c>
      <c r="E91" s="12" t="e">
        <f>#REF!</f>
        <v>#REF!</v>
      </c>
      <c r="F91" s="12" t="e">
        <f>#REF!</f>
        <v>#REF!</v>
      </c>
      <c r="G91" s="241" t="e">
        <f>#REF!</f>
        <v>#REF!</v>
      </c>
      <c r="H91" s="242"/>
      <c r="I91" s="242"/>
      <c r="J91" s="243"/>
      <c r="K91" s="12" t="e">
        <f>CONCATENATE(B91,"-",E91)</f>
        <v>#REF!</v>
      </c>
      <c r="L91" s="21" t="s">
        <v>48</v>
      </c>
    </row>
    <row r="92" spans="1:12" ht="15.75" customHeight="1" x14ac:dyDescent="0.25">
      <c r="A92" s="10"/>
      <c r="B92" s="11"/>
      <c r="C92" s="11"/>
      <c r="D92" s="13" t="s">
        <v>13</v>
      </c>
      <c r="E92" s="12" t="e">
        <f>#REF!</f>
        <v>#REF!</v>
      </c>
      <c r="F92" s="12" t="e">
        <f>#REF!</f>
        <v>#REF!</v>
      </c>
      <c r="G92" s="241" t="e">
        <f>#REF!</f>
        <v>#REF!</v>
      </c>
      <c r="H92" s="242"/>
      <c r="I92" s="242"/>
      <c r="J92" s="243"/>
      <c r="K92" s="12" t="e">
        <f>CONCATENATE(B91,"-",E92)</f>
        <v>#REF!</v>
      </c>
      <c r="L92" s="21" t="s">
        <v>49</v>
      </c>
    </row>
    <row r="93" spans="1:12" ht="15.75" customHeight="1" x14ac:dyDescent="0.25">
      <c r="A93" s="10"/>
      <c r="B93" s="11"/>
      <c r="C93" s="11"/>
      <c r="D93" s="13" t="s">
        <v>13</v>
      </c>
      <c r="E93" s="12" t="e">
        <f>#REF!</f>
        <v>#REF!</v>
      </c>
      <c r="F93" s="12" t="e">
        <f>#REF!</f>
        <v>#REF!</v>
      </c>
      <c r="G93" s="241" t="e">
        <f>#REF!</f>
        <v>#REF!</v>
      </c>
      <c r="H93" s="242"/>
      <c r="I93" s="242"/>
      <c r="J93" s="243"/>
      <c r="K93" s="12" t="e">
        <f>CONCATENATE(B91,"-",E93)</f>
        <v>#REF!</v>
      </c>
      <c r="L93" s="21" t="s">
        <v>50</v>
      </c>
    </row>
    <row r="94" spans="1:12" ht="15.75" customHeight="1" x14ac:dyDescent="0.25">
      <c r="A94" s="10"/>
      <c r="B94" s="11"/>
      <c r="C94" s="11"/>
      <c r="D94" s="13" t="s">
        <v>13</v>
      </c>
      <c r="E94" s="12" t="e">
        <f>#REF!</f>
        <v>#REF!</v>
      </c>
      <c r="F94" s="12" t="e">
        <f>#REF!</f>
        <v>#REF!</v>
      </c>
      <c r="G94" s="241" t="e">
        <f>#REF!</f>
        <v>#REF!</v>
      </c>
      <c r="H94" s="242"/>
      <c r="I94" s="242"/>
      <c r="J94" s="243"/>
      <c r="K94" s="12" t="e">
        <f>CONCATENATE(B91,"-",E94)</f>
        <v>#REF!</v>
      </c>
      <c r="L94" s="21" t="s">
        <v>48</v>
      </c>
    </row>
    <row r="95" spans="1:12" ht="15.75" customHeight="1" x14ac:dyDescent="0.25">
      <c r="A95" s="10">
        <v>54</v>
      </c>
      <c r="B95" s="11" t="e">
        <f>#REF!</f>
        <v>#REF!</v>
      </c>
      <c r="C95" s="11" t="e">
        <f>#REF!</f>
        <v>#REF!</v>
      </c>
      <c r="D95" s="13" t="s">
        <v>13</v>
      </c>
      <c r="E95" s="12" t="e">
        <f>#REF!</f>
        <v>#REF!</v>
      </c>
      <c r="F95" s="12" t="e">
        <f>#REF!</f>
        <v>#REF!</v>
      </c>
      <c r="G95" s="241" t="e">
        <f>#REF!</f>
        <v>#REF!</v>
      </c>
      <c r="H95" s="242"/>
      <c r="I95" s="242"/>
      <c r="J95" s="243"/>
      <c r="K95" s="12" t="e">
        <f>CONCATENATE(B95,"-",E95)</f>
        <v>#REF!</v>
      </c>
      <c r="L95" s="21" t="s">
        <v>51</v>
      </c>
    </row>
    <row r="96" spans="1:12" ht="15.75" customHeight="1" x14ac:dyDescent="0.25">
      <c r="A96" s="10"/>
      <c r="B96" s="11"/>
      <c r="C96" s="11"/>
      <c r="D96" s="13" t="s">
        <v>13</v>
      </c>
      <c r="E96" s="12" t="e">
        <f>#REF!</f>
        <v>#REF!</v>
      </c>
      <c r="F96" s="12" t="e">
        <f>#REF!</f>
        <v>#REF!</v>
      </c>
      <c r="G96" s="241" t="e">
        <f>#REF!</f>
        <v>#REF!</v>
      </c>
      <c r="H96" s="242"/>
      <c r="I96" s="242"/>
      <c r="J96" s="243"/>
      <c r="K96" s="12" t="e">
        <f>CONCATENATE(B95,"-",E96)</f>
        <v>#REF!</v>
      </c>
      <c r="L96" s="21" t="s">
        <v>52</v>
      </c>
    </row>
    <row r="97" spans="1:12" ht="15.75" customHeight="1" x14ac:dyDescent="0.25">
      <c r="A97" s="10"/>
      <c r="B97" s="11"/>
      <c r="C97" s="11"/>
      <c r="D97" s="13" t="s">
        <v>13</v>
      </c>
      <c r="E97" s="12" t="e">
        <f>#REF!</f>
        <v>#REF!</v>
      </c>
      <c r="F97" s="12" t="e">
        <f>#REF!</f>
        <v>#REF!</v>
      </c>
      <c r="G97" s="241" t="e">
        <f>#REF!</f>
        <v>#REF!</v>
      </c>
      <c r="H97" s="242"/>
      <c r="I97" s="242"/>
      <c r="J97" s="243"/>
      <c r="K97" s="12" t="e">
        <f>CONCATENATE(B95,"-",E97)</f>
        <v>#REF!</v>
      </c>
      <c r="L97" s="21" t="s">
        <v>53</v>
      </c>
    </row>
    <row r="98" spans="1:12" ht="15.75" customHeight="1" x14ac:dyDescent="0.25">
      <c r="A98" s="10">
        <v>55</v>
      </c>
      <c r="B98" s="11" t="e">
        <f>#REF!</f>
        <v>#REF!</v>
      </c>
      <c r="C98" s="11" t="e">
        <f>#REF!</f>
        <v>#REF!</v>
      </c>
      <c r="D98" s="13" t="s">
        <v>13</v>
      </c>
      <c r="E98" s="12" t="e">
        <f>#REF!</f>
        <v>#REF!</v>
      </c>
      <c r="F98" s="12" t="e">
        <f>#REF!</f>
        <v>#REF!</v>
      </c>
      <c r="G98" s="241" t="e">
        <f>#REF!</f>
        <v>#REF!</v>
      </c>
      <c r="H98" s="242"/>
      <c r="I98" s="242"/>
      <c r="J98" s="243"/>
      <c r="K98" s="12" t="e">
        <f>CONCATENATE(B98,"-",E98)</f>
        <v>#REF!</v>
      </c>
      <c r="L98" s="21" t="s">
        <v>54</v>
      </c>
    </row>
    <row r="99" spans="1:12" ht="15.75" customHeight="1" x14ac:dyDescent="0.25">
      <c r="A99" s="10"/>
      <c r="B99" s="11"/>
      <c r="C99" s="11"/>
      <c r="D99" s="13" t="s">
        <v>13</v>
      </c>
      <c r="E99" s="12" t="e">
        <f>#REF!</f>
        <v>#REF!</v>
      </c>
      <c r="F99" s="12" t="e">
        <f>#REF!</f>
        <v>#REF!</v>
      </c>
      <c r="G99" s="241" t="e">
        <f>#REF!</f>
        <v>#REF!</v>
      </c>
      <c r="H99" s="242"/>
      <c r="I99" s="242"/>
      <c r="J99" s="243"/>
      <c r="K99" s="12" t="e">
        <f>CONCATENATE(B98,"-",E99)</f>
        <v>#REF!</v>
      </c>
      <c r="L99" s="21" t="s">
        <v>55</v>
      </c>
    </row>
    <row r="100" spans="1:12" ht="15.75" customHeight="1" x14ac:dyDescent="0.25">
      <c r="A100" s="10"/>
      <c r="B100" s="11"/>
      <c r="C100" s="11"/>
      <c r="D100" s="13" t="s">
        <v>13</v>
      </c>
      <c r="E100" s="12" t="e">
        <f>#REF!</f>
        <v>#REF!</v>
      </c>
      <c r="F100" s="12" t="e">
        <f>#REF!</f>
        <v>#REF!</v>
      </c>
      <c r="G100" s="241" t="e">
        <f>#REF!</f>
        <v>#REF!</v>
      </c>
      <c r="H100" s="242"/>
      <c r="I100" s="242"/>
      <c r="J100" s="243"/>
      <c r="K100" s="12" t="e">
        <f>CONCATENATE(B98,"-",E100)</f>
        <v>#REF!</v>
      </c>
      <c r="L100" s="21" t="s">
        <v>56</v>
      </c>
    </row>
    <row r="101" spans="1:12" ht="15.75" customHeight="1" x14ac:dyDescent="0.25">
      <c r="A101" s="10">
        <v>56</v>
      </c>
      <c r="B101" s="11" t="e">
        <f>#REF!</f>
        <v>#REF!</v>
      </c>
      <c r="C101" s="12" t="e">
        <f>#REF!</f>
        <v>#REF!</v>
      </c>
      <c r="D101" s="13" t="s">
        <v>13</v>
      </c>
      <c r="E101" s="12" t="e">
        <f>#REF!</f>
        <v>#REF!</v>
      </c>
      <c r="F101" s="12" t="e">
        <f>#REF!</f>
        <v>#REF!</v>
      </c>
      <c r="G101" s="241" t="e">
        <f>#REF!</f>
        <v>#REF!</v>
      </c>
      <c r="H101" s="242"/>
      <c r="I101" s="242"/>
      <c r="J101" s="243"/>
      <c r="K101" s="12" t="e">
        <f t="shared" ref="K101:K104" si="11">CONCATENATE(B101,"-",E101)</f>
        <v>#REF!</v>
      </c>
      <c r="L101" s="21" t="s">
        <v>57</v>
      </c>
    </row>
    <row r="102" spans="1:12" ht="15.75" customHeight="1" x14ac:dyDescent="0.25">
      <c r="A102" s="10">
        <v>57</v>
      </c>
      <c r="B102" s="11" t="e">
        <f>#REF!</f>
        <v>#REF!</v>
      </c>
      <c r="C102" s="12" t="e">
        <f>#REF!</f>
        <v>#REF!</v>
      </c>
      <c r="D102" s="13" t="s">
        <v>13</v>
      </c>
      <c r="E102" s="12" t="e">
        <f>#REF!</f>
        <v>#REF!</v>
      </c>
      <c r="F102" s="12" t="e">
        <f>#REF!</f>
        <v>#REF!</v>
      </c>
      <c r="G102" s="241" t="e">
        <f>#REF!</f>
        <v>#REF!</v>
      </c>
      <c r="H102" s="242"/>
      <c r="I102" s="242"/>
      <c r="J102" s="243"/>
      <c r="K102" s="12" t="e">
        <f t="shared" si="11"/>
        <v>#REF!</v>
      </c>
      <c r="L102" s="21" t="s">
        <v>58</v>
      </c>
    </row>
    <row r="103" spans="1:12" ht="15.75" customHeight="1" x14ac:dyDescent="0.25">
      <c r="A103" s="10">
        <v>58</v>
      </c>
      <c r="B103" s="11" t="e">
        <f>#REF!</f>
        <v>#REF!</v>
      </c>
      <c r="C103" s="12" t="e">
        <f>#REF!</f>
        <v>#REF!</v>
      </c>
      <c r="D103" s="13" t="s">
        <v>13</v>
      </c>
      <c r="E103" s="12" t="e">
        <f>#REF!</f>
        <v>#REF!</v>
      </c>
      <c r="F103" s="12" t="e">
        <f>#REF!</f>
        <v>#REF!</v>
      </c>
      <c r="G103" s="241" t="e">
        <f>#REF!</f>
        <v>#REF!</v>
      </c>
      <c r="H103" s="242"/>
      <c r="I103" s="242"/>
      <c r="J103" s="243"/>
      <c r="K103" s="12" t="e">
        <f t="shared" si="11"/>
        <v>#REF!</v>
      </c>
      <c r="L103" s="21" t="s">
        <v>59</v>
      </c>
    </row>
    <row r="104" spans="1:12" ht="15.75" customHeight="1" x14ac:dyDescent="0.25">
      <c r="A104" s="10">
        <v>59</v>
      </c>
      <c r="B104" s="11" t="e">
        <f>#REF!</f>
        <v>#REF!</v>
      </c>
      <c r="C104" s="11" t="e">
        <f>#REF!</f>
        <v>#REF!</v>
      </c>
      <c r="D104" s="13" t="s">
        <v>13</v>
      </c>
      <c r="E104" s="12" t="e">
        <f>#REF!</f>
        <v>#REF!</v>
      </c>
      <c r="F104" s="12" t="e">
        <f>#REF!</f>
        <v>#REF!</v>
      </c>
      <c r="G104" s="241" t="e">
        <f>#REF!</f>
        <v>#REF!</v>
      </c>
      <c r="H104" s="242"/>
      <c r="I104" s="242"/>
      <c r="J104" s="243"/>
      <c r="K104" s="12" t="e">
        <f t="shared" si="11"/>
        <v>#REF!</v>
      </c>
      <c r="L104" s="21" t="s">
        <v>60</v>
      </c>
    </row>
    <row r="105" spans="1:12" ht="15.75" customHeight="1" x14ac:dyDescent="0.25">
      <c r="A105" s="10"/>
      <c r="B105" s="11"/>
      <c r="C105" s="11"/>
      <c r="D105" s="13" t="s">
        <v>13</v>
      </c>
      <c r="E105" s="12" t="e">
        <f>#REF!</f>
        <v>#REF!</v>
      </c>
      <c r="F105" s="12" t="e">
        <f>#REF!</f>
        <v>#REF!</v>
      </c>
      <c r="G105" s="241" t="e">
        <f>#REF!</f>
        <v>#REF!</v>
      </c>
      <c r="H105" s="242"/>
      <c r="I105" s="242"/>
      <c r="J105" s="243"/>
      <c r="K105" s="12" t="e">
        <f>CONCATENATE(B104,"-",E105)</f>
        <v>#REF!</v>
      </c>
      <c r="L105" s="21" t="s">
        <v>61</v>
      </c>
    </row>
    <row r="106" spans="1:12" ht="15.75" customHeight="1" x14ac:dyDescent="0.25">
      <c r="A106" s="10"/>
      <c r="B106" s="11"/>
      <c r="C106" s="11"/>
      <c r="D106" s="13" t="s">
        <v>13</v>
      </c>
      <c r="E106" s="12" t="e">
        <f>#REF!</f>
        <v>#REF!</v>
      </c>
      <c r="F106" s="12" t="e">
        <f>#REF!</f>
        <v>#REF!</v>
      </c>
      <c r="G106" s="241" t="e">
        <f>#REF!</f>
        <v>#REF!</v>
      </c>
      <c r="H106" s="242"/>
      <c r="I106" s="242"/>
      <c r="J106" s="243"/>
      <c r="K106" s="12" t="e">
        <f>CONCATENATE(B104,"-",E106)</f>
        <v>#REF!</v>
      </c>
      <c r="L106" s="21" t="s">
        <v>62</v>
      </c>
    </row>
    <row r="107" spans="1:12" ht="15.75" customHeight="1" x14ac:dyDescent="0.25">
      <c r="A107" s="10">
        <v>60</v>
      </c>
      <c r="B107" s="11" t="e">
        <f>#REF!</f>
        <v>#REF!</v>
      </c>
      <c r="C107" s="11" t="e">
        <f>#REF!</f>
        <v>#REF!</v>
      </c>
      <c r="D107" s="13" t="s">
        <v>13</v>
      </c>
      <c r="E107" s="12" t="e">
        <f>#REF!</f>
        <v>#REF!</v>
      </c>
      <c r="F107" s="12" t="e">
        <f>#REF!</f>
        <v>#REF!</v>
      </c>
      <c r="G107" s="241" t="e">
        <f>#REF!</f>
        <v>#REF!</v>
      </c>
      <c r="H107" s="242"/>
      <c r="I107" s="242"/>
      <c r="J107" s="243"/>
      <c r="K107" s="12" t="e">
        <f>CONCATENATE(B107,"-",E107)</f>
        <v>#REF!</v>
      </c>
      <c r="L107" s="21" t="s">
        <v>63</v>
      </c>
    </row>
    <row r="108" spans="1:12" ht="15.75" customHeight="1" x14ac:dyDescent="0.25">
      <c r="A108" s="10"/>
      <c r="B108" s="11"/>
      <c r="C108" s="11"/>
      <c r="D108" s="13" t="s">
        <v>13</v>
      </c>
      <c r="E108" s="12" t="e">
        <f>#REF!</f>
        <v>#REF!</v>
      </c>
      <c r="F108" s="12" t="e">
        <f>#REF!</f>
        <v>#REF!</v>
      </c>
      <c r="G108" s="241" t="e">
        <f>#REF!</f>
        <v>#REF!</v>
      </c>
      <c r="H108" s="242"/>
      <c r="I108" s="242"/>
      <c r="J108" s="243"/>
      <c r="K108" s="12" t="e">
        <f>CONCATENATE(B107,"-",E108)</f>
        <v>#REF!</v>
      </c>
      <c r="L108" s="21" t="s">
        <v>64</v>
      </c>
    </row>
    <row r="109" spans="1:12" ht="15.75" customHeight="1" x14ac:dyDescent="0.25">
      <c r="A109" s="10">
        <v>61</v>
      </c>
      <c r="B109" s="11" t="e">
        <f>#REF!</f>
        <v>#REF!</v>
      </c>
      <c r="C109" s="12" t="e">
        <f>#REF!</f>
        <v>#REF!</v>
      </c>
      <c r="D109" s="13" t="s">
        <v>13</v>
      </c>
      <c r="E109" s="12" t="e">
        <f>#REF!</f>
        <v>#REF!</v>
      </c>
      <c r="F109" s="12" t="e">
        <f>#REF!</f>
        <v>#REF!</v>
      </c>
      <c r="G109" s="241" t="e">
        <f>#REF!</f>
        <v>#REF!</v>
      </c>
      <c r="H109" s="242"/>
      <c r="I109" s="242"/>
      <c r="J109" s="243"/>
      <c r="K109" s="12" t="e">
        <f t="shared" ref="K109:K110" si="12">CONCATENATE(B109,"-",E109)</f>
        <v>#REF!</v>
      </c>
      <c r="L109" s="21" t="s">
        <v>65</v>
      </c>
    </row>
    <row r="110" spans="1:12" ht="15.75" customHeight="1" x14ac:dyDescent="0.25">
      <c r="A110" s="10">
        <v>62</v>
      </c>
      <c r="B110" s="11" t="e">
        <f>#REF!</f>
        <v>#REF!</v>
      </c>
      <c r="C110" s="11" t="e">
        <f>#REF!</f>
        <v>#REF!</v>
      </c>
      <c r="D110" s="13" t="s">
        <v>13</v>
      </c>
      <c r="E110" s="12" t="e">
        <f>#REF!</f>
        <v>#REF!</v>
      </c>
      <c r="F110" s="12" t="e">
        <f>#REF!</f>
        <v>#REF!</v>
      </c>
      <c r="G110" s="241" t="e">
        <f>#REF!</f>
        <v>#REF!</v>
      </c>
      <c r="H110" s="242"/>
      <c r="I110" s="242"/>
      <c r="J110" s="243"/>
      <c r="K110" s="12" t="e">
        <f t="shared" si="12"/>
        <v>#REF!</v>
      </c>
      <c r="L110" s="21" t="s">
        <v>66</v>
      </c>
    </row>
    <row r="111" spans="1:12" ht="15.75" customHeight="1" x14ac:dyDescent="0.25">
      <c r="A111" s="10"/>
      <c r="B111" s="11"/>
      <c r="C111" s="11"/>
      <c r="D111" s="13" t="s">
        <v>13</v>
      </c>
      <c r="E111" s="12" t="e">
        <f>#REF!</f>
        <v>#REF!</v>
      </c>
      <c r="F111" s="12" t="e">
        <f>#REF!</f>
        <v>#REF!</v>
      </c>
      <c r="G111" s="241" t="e">
        <f>#REF!</f>
        <v>#REF!</v>
      </c>
      <c r="H111" s="242"/>
      <c r="I111" s="242"/>
      <c r="J111" s="243"/>
      <c r="K111" s="12" t="e">
        <f>CONCATENATE(B110,"-",E111)</f>
        <v>#REF!</v>
      </c>
      <c r="L111" s="21" t="s">
        <v>67</v>
      </c>
    </row>
    <row r="112" spans="1:12" ht="15.75" customHeight="1" x14ac:dyDescent="0.25">
      <c r="A112" s="10"/>
      <c r="B112" s="11"/>
      <c r="C112" s="11"/>
      <c r="D112" s="13" t="s">
        <v>13</v>
      </c>
      <c r="E112" s="12" t="e">
        <f>#REF!</f>
        <v>#REF!</v>
      </c>
      <c r="F112" s="12" t="e">
        <f>#REF!</f>
        <v>#REF!</v>
      </c>
      <c r="G112" s="241" t="e">
        <f>#REF!</f>
        <v>#REF!</v>
      </c>
      <c r="H112" s="242"/>
      <c r="I112" s="242"/>
      <c r="J112" s="243"/>
      <c r="K112" s="12" t="e">
        <f>CONCATENATE(B110,"-",E112)</f>
        <v>#REF!</v>
      </c>
      <c r="L112" s="21" t="s">
        <v>68</v>
      </c>
    </row>
    <row r="113" spans="1:12" ht="15.75" customHeight="1" x14ac:dyDescent="0.25">
      <c r="A113" s="10">
        <v>63</v>
      </c>
      <c r="B113" s="11" t="e">
        <f>#REF!</f>
        <v>#REF!</v>
      </c>
      <c r="C113" s="11" t="e">
        <f>#REF!</f>
        <v>#REF!</v>
      </c>
      <c r="D113" s="13" t="s">
        <v>13</v>
      </c>
      <c r="E113" s="12" t="e">
        <f>#REF!</f>
        <v>#REF!</v>
      </c>
      <c r="F113" s="12" t="e">
        <f>#REF!</f>
        <v>#REF!</v>
      </c>
      <c r="G113" s="241" t="e">
        <f>#REF!</f>
        <v>#REF!</v>
      </c>
      <c r="H113" s="242"/>
      <c r="I113" s="242"/>
      <c r="J113" s="243"/>
      <c r="K113" s="12" t="e">
        <f>CONCATENATE(B113,"-",E113)</f>
        <v>#REF!</v>
      </c>
      <c r="L113" s="21" t="s">
        <v>69</v>
      </c>
    </row>
    <row r="114" spans="1:12" ht="15.75" customHeight="1" x14ac:dyDescent="0.25">
      <c r="A114" s="10"/>
      <c r="B114" s="11"/>
      <c r="C114" s="11"/>
      <c r="D114" s="13" t="s">
        <v>13</v>
      </c>
      <c r="E114" s="12" t="e">
        <f>#REF!</f>
        <v>#REF!</v>
      </c>
      <c r="F114" s="12" t="e">
        <f>#REF!</f>
        <v>#REF!</v>
      </c>
      <c r="G114" s="241" t="e">
        <f>#REF!</f>
        <v>#REF!</v>
      </c>
      <c r="H114" s="242"/>
      <c r="I114" s="242"/>
      <c r="J114" s="243"/>
      <c r="K114" s="12" t="e">
        <f>CONCATENATE(B113,"-",E114)</f>
        <v>#REF!</v>
      </c>
      <c r="L114" s="21" t="s">
        <v>70</v>
      </c>
    </row>
    <row r="115" spans="1:12" ht="15.75" customHeight="1" x14ac:dyDescent="0.25">
      <c r="A115" s="10"/>
      <c r="B115" s="11"/>
      <c r="C115" s="11"/>
      <c r="D115" s="13" t="s">
        <v>13</v>
      </c>
      <c r="E115" s="12" t="e">
        <f>#REF!</f>
        <v>#REF!</v>
      </c>
      <c r="F115" s="12" t="e">
        <f>#REF!</f>
        <v>#REF!</v>
      </c>
      <c r="G115" s="241" t="e">
        <f>#REF!</f>
        <v>#REF!</v>
      </c>
      <c r="H115" s="242"/>
      <c r="I115" s="242"/>
      <c r="J115" s="243"/>
      <c r="K115" s="12" t="e">
        <f>CONCATENATE(B113,"-",E115)</f>
        <v>#REF!</v>
      </c>
      <c r="L115" s="21" t="s">
        <v>71</v>
      </c>
    </row>
    <row r="116" spans="1:12" ht="15.75" customHeight="1" x14ac:dyDescent="0.25">
      <c r="A116" s="10"/>
      <c r="B116" s="11"/>
      <c r="C116" s="11"/>
      <c r="D116" s="13" t="s">
        <v>13</v>
      </c>
      <c r="E116" s="12" t="e">
        <f>#REF!</f>
        <v>#REF!</v>
      </c>
      <c r="F116" s="12" t="e">
        <f>#REF!</f>
        <v>#REF!</v>
      </c>
      <c r="G116" s="241" t="e">
        <f>#REF!</f>
        <v>#REF!</v>
      </c>
      <c r="H116" s="242"/>
      <c r="I116" s="242"/>
      <c r="J116" s="243"/>
      <c r="K116" s="12" t="e">
        <f>CONCATENATE(B113,"-",E116)</f>
        <v>#REF!</v>
      </c>
      <c r="L116" s="21" t="s">
        <v>72</v>
      </c>
    </row>
    <row r="117" spans="1:12" ht="15.75" customHeight="1" x14ac:dyDescent="0.25">
      <c r="A117" s="10">
        <v>64</v>
      </c>
      <c r="B117" s="11" t="e">
        <f>#REF!</f>
        <v>#REF!</v>
      </c>
      <c r="C117" s="12" t="e">
        <f>#REF!</f>
        <v>#REF!</v>
      </c>
      <c r="D117" s="13" t="s">
        <v>13</v>
      </c>
      <c r="E117" s="12" t="e">
        <f>#REF!</f>
        <v>#REF!</v>
      </c>
      <c r="F117" s="12" t="e">
        <f>#REF!</f>
        <v>#REF!</v>
      </c>
      <c r="G117" s="241" t="e">
        <f>#REF!</f>
        <v>#REF!</v>
      </c>
      <c r="H117" s="242"/>
      <c r="I117" s="242"/>
      <c r="J117" s="243"/>
      <c r="K117" s="12" t="e">
        <f t="shared" ref="K117:K119" si="13">CONCATENATE(B117,"-",E117)</f>
        <v>#REF!</v>
      </c>
      <c r="L117" s="21" t="s">
        <v>73</v>
      </c>
    </row>
    <row r="118" spans="1:12" ht="15.75" customHeight="1" x14ac:dyDescent="0.25">
      <c r="A118" s="10">
        <v>65</v>
      </c>
      <c r="B118" s="11" t="e">
        <f>#REF!</f>
        <v>#REF!</v>
      </c>
      <c r="C118" s="12" t="e">
        <f>#REF!</f>
        <v>#REF!</v>
      </c>
      <c r="D118" s="13" t="s">
        <v>13</v>
      </c>
      <c r="E118" s="12" t="e">
        <f>#REF!</f>
        <v>#REF!</v>
      </c>
      <c r="F118" s="12" t="e">
        <f>#REF!</f>
        <v>#REF!</v>
      </c>
      <c r="G118" s="241" t="e">
        <f>#REF!</f>
        <v>#REF!</v>
      </c>
      <c r="H118" s="242"/>
      <c r="I118" s="242"/>
      <c r="J118" s="243"/>
      <c r="K118" s="12" t="e">
        <f t="shared" si="13"/>
        <v>#REF!</v>
      </c>
      <c r="L118" s="21" t="s">
        <v>74</v>
      </c>
    </row>
    <row r="119" spans="1:12" ht="15.75" customHeight="1" x14ac:dyDescent="0.25">
      <c r="A119" s="10">
        <v>66</v>
      </c>
      <c r="B119" s="11" t="e">
        <f>#REF!</f>
        <v>#REF!</v>
      </c>
      <c r="C119" s="11" t="e">
        <f>#REF!</f>
        <v>#REF!</v>
      </c>
      <c r="D119" s="13" t="s">
        <v>13</v>
      </c>
      <c r="E119" s="12" t="e">
        <f>#REF!</f>
        <v>#REF!</v>
      </c>
      <c r="F119" s="12" t="e">
        <f>#REF!</f>
        <v>#REF!</v>
      </c>
      <c r="G119" s="241" t="e">
        <f>#REF!</f>
        <v>#REF!</v>
      </c>
      <c r="H119" s="242"/>
      <c r="I119" s="242"/>
      <c r="J119" s="243"/>
      <c r="K119" s="12" t="e">
        <f t="shared" si="13"/>
        <v>#REF!</v>
      </c>
      <c r="L119" s="21" t="s">
        <v>75</v>
      </c>
    </row>
    <row r="120" spans="1:12" ht="15.75" customHeight="1" x14ac:dyDescent="0.25">
      <c r="A120" s="10"/>
      <c r="B120" s="11"/>
      <c r="C120" s="11"/>
      <c r="D120" s="13" t="s">
        <v>13</v>
      </c>
      <c r="E120" s="12" t="e">
        <f>#REF!</f>
        <v>#REF!</v>
      </c>
      <c r="F120" s="12" t="e">
        <f>#REF!</f>
        <v>#REF!</v>
      </c>
      <c r="G120" s="241" t="e">
        <f>#REF!</f>
        <v>#REF!</v>
      </c>
      <c r="H120" s="242"/>
      <c r="I120" s="242"/>
      <c r="J120" s="243"/>
      <c r="K120" s="12" t="e">
        <f>CONCATENATE(B119,"-",E120)</f>
        <v>#REF!</v>
      </c>
      <c r="L120" s="21" t="s">
        <v>76</v>
      </c>
    </row>
    <row r="121" spans="1:12" ht="15.75" customHeight="1" x14ac:dyDescent="0.25">
      <c r="A121" s="10"/>
      <c r="B121" s="11"/>
      <c r="C121" s="11"/>
      <c r="D121" s="13" t="s">
        <v>13</v>
      </c>
      <c r="E121" s="12" t="e">
        <f>#REF!</f>
        <v>#REF!</v>
      </c>
      <c r="F121" s="12" t="e">
        <f>#REF!</f>
        <v>#REF!</v>
      </c>
      <c r="G121" s="241" t="e">
        <f>#REF!</f>
        <v>#REF!</v>
      </c>
      <c r="H121" s="242"/>
      <c r="I121" s="242"/>
      <c r="J121" s="243"/>
      <c r="K121" s="12" t="e">
        <f>CONCATENATE(B119,"-",E121)</f>
        <v>#REF!</v>
      </c>
      <c r="L121" s="21" t="s">
        <v>77</v>
      </c>
    </row>
    <row r="122" spans="1:12" ht="15.75" customHeight="1" x14ac:dyDescent="0.25">
      <c r="A122" s="14"/>
      <c r="B122" s="15"/>
    </row>
    <row r="123" spans="1:12" ht="15.75" customHeight="1" x14ac:dyDescent="0.25">
      <c r="A123" s="14"/>
      <c r="B123" s="15"/>
    </row>
    <row r="124" spans="1:12" ht="15.75" customHeight="1" x14ac:dyDescent="0.25">
      <c r="A124" s="14"/>
      <c r="B124" s="15"/>
    </row>
    <row r="125" spans="1:12" ht="15.75" customHeight="1" x14ac:dyDescent="0.25">
      <c r="A125" s="14"/>
      <c r="B125" s="15"/>
    </row>
    <row r="126" spans="1:12" ht="15.75" customHeight="1" x14ac:dyDescent="0.25">
      <c r="A126" s="14"/>
      <c r="B126" s="15"/>
    </row>
    <row r="127" spans="1:12" ht="15.75" customHeight="1" x14ac:dyDescent="0.25">
      <c r="A127" s="14"/>
      <c r="B127" s="15"/>
    </row>
    <row r="128" spans="1:12" ht="15.75" customHeight="1" x14ac:dyDescent="0.25">
      <c r="A128" s="14"/>
      <c r="B128" s="15"/>
    </row>
    <row r="129" spans="1:2" ht="15.75" customHeight="1" x14ac:dyDescent="0.25">
      <c r="A129" s="14"/>
      <c r="B129" s="15"/>
    </row>
    <row r="130" spans="1:2" ht="15.75" customHeight="1" x14ac:dyDescent="0.25">
      <c r="A130" s="14"/>
      <c r="B130" s="15"/>
    </row>
    <row r="131" spans="1:2" ht="15.75" customHeight="1" x14ac:dyDescent="0.25">
      <c r="A131" s="14"/>
      <c r="B131" s="15"/>
    </row>
    <row r="132" spans="1:2" ht="15.75" customHeight="1" x14ac:dyDescent="0.25">
      <c r="A132" s="14"/>
      <c r="B132" s="15"/>
    </row>
    <row r="133" spans="1:2" ht="15.75" customHeight="1" x14ac:dyDescent="0.25">
      <c r="A133" s="14"/>
      <c r="B133" s="15"/>
    </row>
    <row r="134" spans="1:2" ht="15.75" customHeight="1" x14ac:dyDescent="0.25">
      <c r="A134" s="14"/>
      <c r="B134" s="15"/>
    </row>
    <row r="135" spans="1:2" ht="15.75" customHeight="1" x14ac:dyDescent="0.25">
      <c r="A135" s="14"/>
      <c r="B135" s="15"/>
    </row>
    <row r="136" spans="1:2" ht="15.75" customHeight="1" x14ac:dyDescent="0.25">
      <c r="A136" s="14"/>
      <c r="B136" s="15"/>
    </row>
    <row r="137" spans="1:2" ht="15.75" customHeight="1" x14ac:dyDescent="0.25">
      <c r="A137" s="14"/>
      <c r="B137" s="15"/>
    </row>
    <row r="138" spans="1:2" ht="15.75" customHeight="1" x14ac:dyDescent="0.25">
      <c r="A138" s="14"/>
      <c r="B138" s="15"/>
    </row>
    <row r="139" spans="1:2" ht="15.75" customHeight="1" x14ac:dyDescent="0.25">
      <c r="A139" s="14"/>
      <c r="B139" s="15"/>
    </row>
    <row r="140" spans="1:2" ht="15.75" customHeight="1" x14ac:dyDescent="0.25">
      <c r="A140" s="14"/>
      <c r="B140" s="15"/>
    </row>
    <row r="141" spans="1:2" ht="15.75" customHeight="1" x14ac:dyDescent="0.25">
      <c r="A141" s="14"/>
      <c r="B141" s="15"/>
    </row>
    <row r="142" spans="1:2" ht="15.75" customHeight="1" x14ac:dyDescent="0.25">
      <c r="A142" s="14"/>
      <c r="B142" s="15"/>
    </row>
    <row r="143" spans="1:2" ht="15.75" customHeight="1" x14ac:dyDescent="0.25">
      <c r="A143" s="14"/>
      <c r="B143" s="15"/>
    </row>
    <row r="144" spans="1:2" ht="15.75" customHeight="1" x14ac:dyDescent="0.25">
      <c r="A144" s="14"/>
      <c r="B144" s="15"/>
    </row>
    <row r="145" spans="1:2" ht="15.75" customHeight="1" x14ac:dyDescent="0.25">
      <c r="A145" s="14"/>
      <c r="B145" s="15"/>
    </row>
    <row r="146" spans="1:2" ht="15.75" customHeight="1" x14ac:dyDescent="0.25">
      <c r="A146" s="14"/>
      <c r="B146" s="15"/>
    </row>
    <row r="147" spans="1:2" ht="15.75" customHeight="1" x14ac:dyDescent="0.25">
      <c r="A147" s="14"/>
      <c r="B147" s="15"/>
    </row>
    <row r="148" spans="1:2" ht="15.75" customHeight="1" x14ac:dyDescent="0.25">
      <c r="A148" s="14"/>
      <c r="B148" s="15"/>
    </row>
    <row r="149" spans="1:2" ht="15.75" customHeight="1" x14ac:dyDescent="0.25">
      <c r="A149" s="14"/>
      <c r="B149" s="15"/>
    </row>
    <row r="150" spans="1:2" ht="15.75" customHeight="1" x14ac:dyDescent="0.25">
      <c r="A150" s="14"/>
      <c r="B150" s="15"/>
    </row>
    <row r="151" spans="1:2" ht="15.75" customHeight="1" x14ac:dyDescent="0.25">
      <c r="A151" s="14"/>
      <c r="B151" s="15"/>
    </row>
    <row r="152" spans="1:2" ht="15.75" customHeight="1" x14ac:dyDescent="0.25">
      <c r="A152" s="14"/>
      <c r="B152" s="15"/>
    </row>
    <row r="153" spans="1:2" ht="15.75" customHeight="1" x14ac:dyDescent="0.25">
      <c r="A153" s="14"/>
      <c r="B153" s="15"/>
    </row>
    <row r="154" spans="1:2" ht="15.75" customHeight="1" x14ac:dyDescent="0.25">
      <c r="A154" s="14"/>
      <c r="B154" s="15"/>
    </row>
    <row r="155" spans="1:2" ht="15.75" customHeight="1" x14ac:dyDescent="0.25">
      <c r="A155" s="14"/>
      <c r="B155" s="15"/>
    </row>
    <row r="156" spans="1:2" ht="15.75" customHeight="1" x14ac:dyDescent="0.25">
      <c r="A156" s="14"/>
      <c r="B156" s="15"/>
    </row>
    <row r="157" spans="1:2" ht="15.75" customHeight="1" x14ac:dyDescent="0.25">
      <c r="A157" s="14"/>
      <c r="B157" s="15"/>
    </row>
    <row r="158" spans="1:2" ht="15.75" customHeight="1" x14ac:dyDescent="0.25">
      <c r="A158" s="14"/>
      <c r="B158" s="15"/>
    </row>
    <row r="159" spans="1:2" ht="15.75" customHeight="1" x14ac:dyDescent="0.25">
      <c r="A159" s="14"/>
      <c r="B159" s="15"/>
    </row>
    <row r="160" spans="1:2" ht="15.75" customHeight="1" x14ac:dyDescent="0.25">
      <c r="A160" s="14"/>
      <c r="B160" s="15"/>
    </row>
    <row r="161" spans="1:2" ht="15.75" customHeight="1" x14ac:dyDescent="0.25">
      <c r="A161" s="14"/>
      <c r="B161" s="15"/>
    </row>
    <row r="162" spans="1:2" ht="15.75" customHeight="1" x14ac:dyDescent="0.25">
      <c r="A162" s="14"/>
      <c r="B162" s="15"/>
    </row>
    <row r="163" spans="1:2" ht="15.75" customHeight="1" x14ac:dyDescent="0.25">
      <c r="A163" s="14"/>
      <c r="B163" s="15"/>
    </row>
    <row r="164" spans="1:2" ht="15.75" customHeight="1" x14ac:dyDescent="0.25">
      <c r="A164" s="14"/>
      <c r="B164" s="15"/>
    </row>
    <row r="165" spans="1:2" ht="15.75" customHeight="1" x14ac:dyDescent="0.25">
      <c r="A165" s="14"/>
      <c r="B165" s="15"/>
    </row>
    <row r="166" spans="1:2" ht="15.75" customHeight="1" x14ac:dyDescent="0.25">
      <c r="A166" s="14"/>
      <c r="B166" s="15"/>
    </row>
    <row r="167" spans="1:2" ht="15.75" customHeight="1" x14ac:dyDescent="0.25">
      <c r="A167" s="14"/>
      <c r="B167" s="15"/>
    </row>
    <row r="168" spans="1:2" ht="15.75" customHeight="1" x14ac:dyDescent="0.25">
      <c r="A168" s="14"/>
      <c r="B168" s="15"/>
    </row>
    <row r="169" spans="1:2" ht="15.75" customHeight="1" x14ac:dyDescent="0.25">
      <c r="A169" s="14"/>
      <c r="B169" s="15"/>
    </row>
    <row r="170" spans="1:2" ht="15.75" customHeight="1" x14ac:dyDescent="0.25">
      <c r="A170" s="14"/>
      <c r="B170" s="15"/>
    </row>
    <row r="171" spans="1:2" ht="15.75" customHeight="1" x14ac:dyDescent="0.25">
      <c r="A171" s="14"/>
      <c r="B171" s="15"/>
    </row>
    <row r="172" spans="1:2" ht="15.75" customHeight="1" x14ac:dyDescent="0.25">
      <c r="A172" s="14"/>
      <c r="B172" s="15"/>
    </row>
    <row r="173" spans="1:2" ht="15.75" customHeight="1" x14ac:dyDescent="0.25">
      <c r="A173" s="14"/>
      <c r="B173" s="15"/>
    </row>
    <row r="174" spans="1:2" ht="15.75" customHeight="1" x14ac:dyDescent="0.25">
      <c r="A174" s="14"/>
      <c r="B174" s="15"/>
    </row>
    <row r="175" spans="1:2" ht="15.75" customHeight="1" x14ac:dyDescent="0.25">
      <c r="A175" s="14"/>
      <c r="B175" s="15"/>
    </row>
    <row r="176" spans="1:2" ht="15.75" customHeight="1" x14ac:dyDescent="0.25">
      <c r="A176" s="14"/>
      <c r="B176" s="15"/>
    </row>
    <row r="177" spans="1:2" ht="15.75" customHeight="1" x14ac:dyDescent="0.25">
      <c r="A177" s="14"/>
      <c r="B177" s="15"/>
    </row>
    <row r="178" spans="1:2" ht="15.75" customHeight="1" x14ac:dyDescent="0.25">
      <c r="A178" s="14"/>
      <c r="B178" s="15"/>
    </row>
    <row r="179" spans="1:2" ht="15.75" customHeight="1" x14ac:dyDescent="0.25">
      <c r="A179" s="14"/>
      <c r="B179" s="15"/>
    </row>
    <row r="180" spans="1:2" ht="15.75" customHeight="1" x14ac:dyDescent="0.25">
      <c r="A180" s="14"/>
      <c r="B180" s="15"/>
    </row>
    <row r="181" spans="1:2" ht="15.75" customHeight="1" x14ac:dyDescent="0.25">
      <c r="A181" s="14"/>
      <c r="B181" s="15"/>
    </row>
    <row r="182" spans="1:2" ht="15.75" customHeight="1" x14ac:dyDescent="0.25">
      <c r="A182" s="14"/>
      <c r="B182" s="15"/>
    </row>
    <row r="183" spans="1:2" ht="15.75" customHeight="1" x14ac:dyDescent="0.25">
      <c r="A183" s="14"/>
      <c r="B183" s="15"/>
    </row>
    <row r="184" spans="1:2" ht="15.75" customHeight="1" x14ac:dyDescent="0.25">
      <c r="A184" s="14"/>
      <c r="B184" s="15"/>
    </row>
    <row r="185" spans="1:2" ht="15.75" customHeight="1" x14ac:dyDescent="0.25">
      <c r="A185" s="14"/>
      <c r="B185" s="15"/>
    </row>
    <row r="186" spans="1:2" ht="15.75" customHeight="1" x14ac:dyDescent="0.25">
      <c r="A186" s="14"/>
      <c r="B186" s="15"/>
    </row>
    <row r="187" spans="1:2" ht="15.75" customHeight="1" x14ac:dyDescent="0.25">
      <c r="A187" s="14"/>
      <c r="B187" s="15"/>
    </row>
    <row r="188" spans="1:2" ht="15.75" customHeight="1" x14ac:dyDescent="0.25">
      <c r="A188" s="14"/>
      <c r="B188" s="15"/>
    </row>
    <row r="189" spans="1:2" ht="15.75" customHeight="1" x14ac:dyDescent="0.25">
      <c r="A189" s="14"/>
      <c r="B189" s="15"/>
    </row>
    <row r="190" spans="1:2" ht="15.75" customHeight="1" x14ac:dyDescent="0.25">
      <c r="A190" s="14"/>
      <c r="B190" s="15"/>
    </row>
    <row r="191" spans="1:2" ht="15.75" customHeight="1" x14ac:dyDescent="0.25">
      <c r="A191" s="14"/>
      <c r="B191" s="15"/>
    </row>
    <row r="192" spans="1:2" ht="15.75" customHeight="1" x14ac:dyDescent="0.25">
      <c r="A192" s="14"/>
      <c r="B192" s="15"/>
    </row>
    <row r="193" spans="1:2" ht="15.75" customHeight="1" x14ac:dyDescent="0.25">
      <c r="A193" s="14"/>
      <c r="B193" s="15"/>
    </row>
    <row r="194" spans="1:2" ht="15.75" customHeight="1" x14ac:dyDescent="0.25">
      <c r="A194" s="14"/>
      <c r="B194" s="15"/>
    </row>
    <row r="195" spans="1:2" ht="15.75" customHeight="1" x14ac:dyDescent="0.25">
      <c r="A195" s="14"/>
      <c r="B195" s="15"/>
    </row>
    <row r="196" spans="1:2" ht="15.75" customHeight="1" x14ac:dyDescent="0.25">
      <c r="A196" s="14"/>
      <c r="B196" s="15"/>
    </row>
    <row r="197" spans="1:2" ht="15.75" customHeight="1" x14ac:dyDescent="0.25">
      <c r="A197" s="14"/>
      <c r="B197" s="15"/>
    </row>
    <row r="198" spans="1:2" ht="15.75" customHeight="1" x14ac:dyDescent="0.25">
      <c r="A198" s="14"/>
      <c r="B198" s="15"/>
    </row>
    <row r="199" spans="1:2" ht="15.75" customHeight="1" x14ac:dyDescent="0.25">
      <c r="A199" s="14"/>
      <c r="B199" s="15"/>
    </row>
    <row r="200" spans="1:2" ht="15.75" customHeight="1" x14ac:dyDescent="0.25">
      <c r="A200" s="14"/>
      <c r="B200" s="15"/>
    </row>
    <row r="201" spans="1:2" ht="15.75" customHeight="1" x14ac:dyDescent="0.25">
      <c r="A201" s="14"/>
      <c r="B201" s="15"/>
    </row>
    <row r="202" spans="1:2" ht="15.75" customHeight="1" x14ac:dyDescent="0.25">
      <c r="A202" s="14"/>
      <c r="B202" s="15"/>
    </row>
    <row r="203" spans="1:2" ht="15.75" customHeight="1" x14ac:dyDescent="0.25">
      <c r="A203" s="14"/>
      <c r="B203" s="15"/>
    </row>
    <row r="204" spans="1:2" ht="15.75" customHeight="1" x14ac:dyDescent="0.25">
      <c r="A204" s="14"/>
      <c r="B204" s="15"/>
    </row>
    <row r="205" spans="1:2" ht="15.75" customHeight="1" x14ac:dyDescent="0.25">
      <c r="A205" s="14"/>
      <c r="B205" s="15"/>
    </row>
    <row r="206" spans="1:2" ht="15.75" customHeight="1" x14ac:dyDescent="0.25">
      <c r="A206" s="14"/>
      <c r="B206" s="15"/>
    </row>
    <row r="207" spans="1:2" ht="15.75" customHeight="1" x14ac:dyDescent="0.25">
      <c r="A207" s="14"/>
      <c r="B207" s="15"/>
    </row>
    <row r="208" spans="1:2" ht="15.75" customHeight="1" x14ac:dyDescent="0.25">
      <c r="A208" s="14"/>
      <c r="B208" s="15"/>
    </row>
    <row r="209" spans="1:2" ht="15.75" customHeight="1" x14ac:dyDescent="0.25">
      <c r="A209" s="14"/>
      <c r="B209" s="15"/>
    </row>
    <row r="210" spans="1:2" ht="15.75" customHeight="1" x14ac:dyDescent="0.25">
      <c r="A210" s="14"/>
      <c r="B210" s="15"/>
    </row>
    <row r="211" spans="1:2" ht="15.75" customHeight="1" x14ac:dyDescent="0.25">
      <c r="A211" s="14"/>
      <c r="B211" s="15"/>
    </row>
    <row r="212" spans="1:2" ht="15.75" customHeight="1" x14ac:dyDescent="0.25">
      <c r="A212" s="14"/>
      <c r="B212" s="15"/>
    </row>
    <row r="213" spans="1:2" ht="15.75" customHeight="1" x14ac:dyDescent="0.25">
      <c r="A213" s="14"/>
      <c r="B213" s="15"/>
    </row>
    <row r="214" spans="1:2" ht="15.75" customHeight="1" x14ac:dyDescent="0.25">
      <c r="A214" s="14"/>
      <c r="B214" s="15"/>
    </row>
    <row r="215" spans="1:2" ht="15.75" customHeight="1" x14ac:dyDescent="0.25">
      <c r="A215" s="14"/>
      <c r="B215" s="15"/>
    </row>
    <row r="216" spans="1:2" ht="15.75" customHeight="1" x14ac:dyDescent="0.25">
      <c r="A216" s="14"/>
      <c r="B216" s="15"/>
    </row>
    <row r="217" spans="1:2" ht="15.75" customHeight="1" x14ac:dyDescent="0.25">
      <c r="A217" s="14"/>
      <c r="B217" s="15"/>
    </row>
    <row r="218" spans="1:2" ht="15.75" customHeight="1" x14ac:dyDescent="0.25">
      <c r="A218" s="14"/>
      <c r="B218" s="15"/>
    </row>
    <row r="219" spans="1:2" ht="15.75" customHeight="1" x14ac:dyDescent="0.25">
      <c r="A219" s="14"/>
      <c r="B219" s="15"/>
    </row>
    <row r="220" spans="1:2" ht="15.75" customHeight="1" x14ac:dyDescent="0.25">
      <c r="A220" s="14"/>
      <c r="B220" s="15"/>
    </row>
    <row r="221" spans="1:2" ht="15.75" customHeight="1" x14ac:dyDescent="0.25">
      <c r="A221" s="14"/>
      <c r="B221" s="15"/>
    </row>
    <row r="222" spans="1:2" ht="15.75" customHeight="1" x14ac:dyDescent="0.25">
      <c r="A222" s="14"/>
      <c r="B222" s="15"/>
    </row>
    <row r="223" spans="1:2" ht="15.75" customHeight="1" x14ac:dyDescent="0.25">
      <c r="A223" s="14"/>
      <c r="B223" s="15"/>
    </row>
    <row r="224" spans="1:2" ht="15.75" customHeight="1" x14ac:dyDescent="0.25">
      <c r="A224" s="14"/>
      <c r="B224" s="15"/>
    </row>
    <row r="225" spans="1:2" ht="15.75" customHeight="1" x14ac:dyDescent="0.25">
      <c r="A225" s="14"/>
      <c r="B225" s="15"/>
    </row>
    <row r="226" spans="1:2" ht="15.75" customHeight="1" x14ac:dyDescent="0.25">
      <c r="A226" s="14"/>
      <c r="B226" s="15"/>
    </row>
    <row r="227" spans="1:2" ht="15.75" customHeight="1" x14ac:dyDescent="0.25">
      <c r="A227" s="14"/>
      <c r="B227" s="15"/>
    </row>
    <row r="228" spans="1:2" ht="15.75" customHeight="1" x14ac:dyDescent="0.25">
      <c r="A228" s="14"/>
      <c r="B228" s="15"/>
    </row>
    <row r="229" spans="1:2" ht="15.75" customHeight="1" x14ac:dyDescent="0.25">
      <c r="A229" s="14"/>
      <c r="B229" s="15"/>
    </row>
    <row r="230" spans="1:2" ht="15.75" customHeight="1" x14ac:dyDescent="0.25">
      <c r="A230" s="14"/>
      <c r="B230" s="15"/>
    </row>
    <row r="231" spans="1:2" ht="15.75" customHeight="1" x14ac:dyDescent="0.25">
      <c r="A231" s="14"/>
      <c r="B231" s="15"/>
    </row>
    <row r="232" spans="1:2" ht="15.75" customHeight="1" x14ac:dyDescent="0.25">
      <c r="A232" s="14"/>
      <c r="B232" s="15"/>
    </row>
    <row r="233" spans="1:2" ht="15.75" customHeight="1" x14ac:dyDescent="0.25">
      <c r="A233" s="14"/>
      <c r="B233" s="15"/>
    </row>
    <row r="234" spans="1:2" ht="15.75" customHeight="1" x14ac:dyDescent="0.25">
      <c r="A234" s="14"/>
      <c r="B234" s="15"/>
    </row>
    <row r="235" spans="1:2" ht="15.75" customHeight="1" x14ac:dyDescent="0.25">
      <c r="A235" s="14"/>
      <c r="B235" s="15"/>
    </row>
    <row r="236" spans="1:2" ht="15.75" customHeight="1" x14ac:dyDescent="0.25">
      <c r="A236" s="14"/>
      <c r="B236" s="15"/>
    </row>
    <row r="237" spans="1:2" ht="15.75" customHeight="1" x14ac:dyDescent="0.25">
      <c r="A237" s="14"/>
      <c r="B237" s="15"/>
    </row>
    <row r="238" spans="1:2" ht="15.75" customHeight="1" x14ac:dyDescent="0.25">
      <c r="A238" s="14"/>
      <c r="B238" s="15"/>
    </row>
    <row r="239" spans="1:2" ht="15.75" customHeight="1" x14ac:dyDescent="0.25">
      <c r="A239" s="14"/>
      <c r="B239" s="15"/>
    </row>
    <row r="240" spans="1:2" ht="15.75" customHeight="1" x14ac:dyDescent="0.25">
      <c r="A240" s="14"/>
      <c r="B240" s="15"/>
    </row>
    <row r="241" spans="1:2" ht="15.75" customHeight="1" x14ac:dyDescent="0.25">
      <c r="A241" s="14"/>
      <c r="B241" s="15"/>
    </row>
    <row r="242" spans="1:2" ht="15.75" customHeight="1" x14ac:dyDescent="0.25">
      <c r="A242" s="14"/>
      <c r="B242" s="15"/>
    </row>
    <row r="243" spans="1:2" ht="15.75" customHeight="1" x14ac:dyDescent="0.25">
      <c r="A243" s="14"/>
      <c r="B243" s="15"/>
    </row>
    <row r="244" spans="1:2" ht="15.75" customHeight="1" x14ac:dyDescent="0.25">
      <c r="A244" s="14"/>
      <c r="B244" s="15"/>
    </row>
    <row r="245" spans="1:2" ht="15.75" customHeight="1" x14ac:dyDescent="0.25">
      <c r="A245" s="14"/>
      <c r="B245" s="15"/>
    </row>
    <row r="246" spans="1:2" ht="15.75" customHeight="1" x14ac:dyDescent="0.25">
      <c r="A246" s="14"/>
      <c r="B246" s="15"/>
    </row>
    <row r="247" spans="1:2" ht="15.75" customHeight="1" x14ac:dyDescent="0.25">
      <c r="A247" s="14"/>
      <c r="B247" s="15"/>
    </row>
    <row r="248" spans="1:2" ht="15.75" customHeight="1" x14ac:dyDescent="0.25">
      <c r="A248" s="14"/>
      <c r="B248" s="15"/>
    </row>
    <row r="249" spans="1:2" ht="15.75" customHeight="1" x14ac:dyDescent="0.25">
      <c r="A249" s="14"/>
      <c r="B249" s="15"/>
    </row>
    <row r="250" spans="1:2" ht="15.75" customHeight="1" x14ac:dyDescent="0.25">
      <c r="A250" s="14"/>
      <c r="B250" s="15"/>
    </row>
    <row r="251" spans="1:2" ht="15.75" customHeight="1" x14ac:dyDescent="0.25">
      <c r="A251" s="14"/>
      <c r="B251" s="15"/>
    </row>
    <row r="252" spans="1:2" ht="15.75" customHeight="1" x14ac:dyDescent="0.25">
      <c r="A252" s="14"/>
      <c r="B252" s="15"/>
    </row>
    <row r="253" spans="1:2" ht="15.75" customHeight="1" x14ac:dyDescent="0.25">
      <c r="A253" s="14"/>
      <c r="B253" s="15"/>
    </row>
    <row r="254" spans="1:2" ht="15.75" customHeight="1" x14ac:dyDescent="0.25">
      <c r="A254" s="14"/>
      <c r="B254" s="15"/>
    </row>
    <row r="255" spans="1:2" ht="15.75" customHeight="1" x14ac:dyDescent="0.25">
      <c r="A255" s="14"/>
      <c r="B255" s="15"/>
    </row>
    <row r="256" spans="1:2" ht="15.75" customHeight="1" x14ac:dyDescent="0.25">
      <c r="A256" s="14"/>
      <c r="B256" s="15"/>
    </row>
    <row r="257" spans="1:2" ht="15.75" customHeight="1" x14ac:dyDescent="0.25">
      <c r="A257" s="14"/>
      <c r="B257" s="15"/>
    </row>
    <row r="258" spans="1:2" ht="15.75" customHeight="1" x14ac:dyDescent="0.25">
      <c r="A258" s="14"/>
      <c r="B258" s="15"/>
    </row>
    <row r="259" spans="1:2" ht="15.75" customHeight="1" x14ac:dyDescent="0.25">
      <c r="A259" s="14"/>
      <c r="B259" s="15"/>
    </row>
    <row r="260" spans="1:2" ht="15.75" customHeight="1" x14ac:dyDescent="0.25">
      <c r="A260" s="14"/>
      <c r="B260" s="15"/>
    </row>
    <row r="261" spans="1:2" ht="15.75" customHeight="1" x14ac:dyDescent="0.25">
      <c r="A261" s="14"/>
      <c r="B261" s="15"/>
    </row>
    <row r="262" spans="1:2" ht="15.75" customHeight="1" x14ac:dyDescent="0.25">
      <c r="A262" s="14"/>
      <c r="B262" s="15"/>
    </row>
    <row r="263" spans="1:2" ht="15.75" customHeight="1" x14ac:dyDescent="0.25">
      <c r="A263" s="14"/>
      <c r="B263" s="15"/>
    </row>
    <row r="264" spans="1:2" ht="15.75" customHeight="1" x14ac:dyDescent="0.25">
      <c r="A264" s="14"/>
      <c r="B264" s="15"/>
    </row>
    <row r="265" spans="1:2" ht="15.75" customHeight="1" x14ac:dyDescent="0.25">
      <c r="A265" s="14"/>
      <c r="B265" s="15"/>
    </row>
    <row r="266" spans="1:2" ht="15.75" customHeight="1" x14ac:dyDescent="0.25">
      <c r="A266" s="14"/>
      <c r="B266" s="15"/>
    </row>
    <row r="267" spans="1:2" ht="15.75" customHeight="1" x14ac:dyDescent="0.25">
      <c r="A267" s="14"/>
      <c r="B267" s="15"/>
    </row>
    <row r="268" spans="1:2" ht="15.75" customHeight="1" x14ac:dyDescent="0.25">
      <c r="A268" s="14"/>
      <c r="B268" s="15"/>
    </row>
    <row r="269" spans="1:2" ht="15.75" customHeight="1" x14ac:dyDescent="0.25">
      <c r="A269" s="14"/>
      <c r="B269" s="15"/>
    </row>
    <row r="270" spans="1:2" ht="15.75" customHeight="1" x14ac:dyDescent="0.25">
      <c r="A270" s="14"/>
      <c r="B270" s="15"/>
    </row>
    <row r="271" spans="1:2" ht="15.75" customHeight="1" x14ac:dyDescent="0.25">
      <c r="A271" s="14"/>
      <c r="B271" s="15"/>
    </row>
    <row r="272" spans="1:2" ht="15.75" customHeight="1" x14ac:dyDescent="0.25">
      <c r="A272" s="14"/>
      <c r="B272" s="15"/>
    </row>
    <row r="273" spans="1:2" ht="15.75" customHeight="1" x14ac:dyDescent="0.25">
      <c r="A273" s="14"/>
      <c r="B273" s="15"/>
    </row>
    <row r="274" spans="1:2" ht="15.75" customHeight="1" x14ac:dyDescent="0.25">
      <c r="A274" s="14"/>
      <c r="B274" s="15"/>
    </row>
    <row r="275" spans="1:2" ht="15.75" customHeight="1" x14ac:dyDescent="0.25">
      <c r="A275" s="14"/>
      <c r="B275" s="15"/>
    </row>
    <row r="276" spans="1:2" ht="15.75" customHeight="1" x14ac:dyDescent="0.25">
      <c r="A276" s="14"/>
      <c r="B276" s="15"/>
    </row>
    <row r="277" spans="1:2" ht="15.75" customHeight="1" x14ac:dyDescent="0.25">
      <c r="A277" s="14"/>
      <c r="B277" s="15"/>
    </row>
    <row r="278" spans="1:2" ht="15.75" customHeight="1" x14ac:dyDescent="0.25">
      <c r="A278" s="14"/>
      <c r="B278" s="15"/>
    </row>
    <row r="279" spans="1:2" ht="15.75" customHeight="1" x14ac:dyDescent="0.25">
      <c r="A279" s="14"/>
      <c r="B279" s="15"/>
    </row>
    <row r="280" spans="1:2" ht="15.75" customHeight="1" x14ac:dyDescent="0.25">
      <c r="A280" s="14"/>
      <c r="B280" s="15"/>
    </row>
    <row r="281" spans="1:2" ht="15.75" customHeight="1" x14ac:dyDescent="0.25">
      <c r="A281" s="14"/>
      <c r="B281" s="15"/>
    </row>
    <row r="282" spans="1:2" ht="15.75" customHeight="1" x14ac:dyDescent="0.25">
      <c r="A282" s="14"/>
      <c r="B282" s="15"/>
    </row>
    <row r="283" spans="1:2" ht="15.75" customHeight="1" x14ac:dyDescent="0.25">
      <c r="A283" s="14"/>
      <c r="B283" s="15"/>
    </row>
    <row r="284" spans="1:2" ht="15.75" customHeight="1" x14ac:dyDescent="0.25">
      <c r="A284" s="14"/>
      <c r="B284" s="15"/>
    </row>
    <row r="285" spans="1:2" ht="15.75" customHeight="1" x14ac:dyDescent="0.25">
      <c r="A285" s="14"/>
      <c r="B285" s="15"/>
    </row>
    <row r="286" spans="1:2" ht="15.75" customHeight="1" x14ac:dyDescent="0.25">
      <c r="A286" s="14"/>
      <c r="B286" s="15"/>
    </row>
    <row r="287" spans="1:2" ht="15.75" customHeight="1" x14ac:dyDescent="0.25">
      <c r="A287" s="14"/>
      <c r="B287" s="15"/>
    </row>
    <row r="288" spans="1:2" ht="15.75" customHeight="1" x14ac:dyDescent="0.25">
      <c r="A288" s="14"/>
      <c r="B288" s="15"/>
    </row>
    <row r="289" spans="1:2" ht="15.75" customHeight="1" x14ac:dyDescent="0.25">
      <c r="A289" s="14"/>
      <c r="B289" s="15"/>
    </row>
    <row r="290" spans="1:2" ht="15.75" customHeight="1" x14ac:dyDescent="0.25">
      <c r="A290" s="14"/>
      <c r="B290" s="15"/>
    </row>
    <row r="291" spans="1:2" ht="15.75" customHeight="1" x14ac:dyDescent="0.25">
      <c r="A291" s="14"/>
      <c r="B291" s="15"/>
    </row>
    <row r="292" spans="1:2" ht="15.75" customHeight="1" x14ac:dyDescent="0.25">
      <c r="A292" s="14"/>
      <c r="B292" s="15"/>
    </row>
    <row r="293" spans="1:2" ht="15.75" customHeight="1" x14ac:dyDescent="0.25">
      <c r="A293" s="14"/>
      <c r="B293" s="15"/>
    </row>
    <row r="294" spans="1:2" ht="15.75" customHeight="1" x14ac:dyDescent="0.25">
      <c r="A294" s="14"/>
      <c r="B294" s="15"/>
    </row>
    <row r="295" spans="1:2" ht="15.75" customHeight="1" x14ac:dyDescent="0.25">
      <c r="A295" s="14"/>
      <c r="B295" s="15"/>
    </row>
    <row r="296" spans="1:2" ht="15.75" customHeight="1" x14ac:dyDescent="0.25">
      <c r="A296" s="14"/>
      <c r="B296" s="15"/>
    </row>
    <row r="297" spans="1:2" ht="15.75" customHeight="1" x14ac:dyDescent="0.25">
      <c r="A297" s="14"/>
      <c r="B297" s="15"/>
    </row>
    <row r="298" spans="1:2" ht="15.75" customHeight="1" x14ac:dyDescent="0.25">
      <c r="A298" s="14"/>
      <c r="B298" s="15"/>
    </row>
    <row r="299" spans="1:2" ht="15.75" customHeight="1" x14ac:dyDescent="0.25">
      <c r="A299" s="14"/>
      <c r="B299" s="15"/>
    </row>
    <row r="300" spans="1:2" ht="15.75" customHeight="1" x14ac:dyDescent="0.25">
      <c r="A300" s="14"/>
      <c r="B300" s="15"/>
    </row>
    <row r="301" spans="1:2" ht="15.75" customHeight="1" x14ac:dyDescent="0.25">
      <c r="A301" s="14"/>
      <c r="B301" s="15"/>
    </row>
    <row r="302" spans="1:2" ht="15.75" customHeight="1" x14ac:dyDescent="0.25">
      <c r="A302" s="14"/>
      <c r="B302" s="15"/>
    </row>
    <row r="303" spans="1:2" ht="15.75" customHeight="1" x14ac:dyDescent="0.25">
      <c r="A303" s="14"/>
      <c r="B303" s="15"/>
    </row>
    <row r="304" spans="1:2" ht="15.75" customHeight="1" x14ac:dyDescent="0.25">
      <c r="A304" s="14"/>
      <c r="B304" s="15"/>
    </row>
    <row r="305" spans="1:2" ht="15.75" customHeight="1" x14ac:dyDescent="0.25">
      <c r="A305" s="14"/>
      <c r="B305" s="15"/>
    </row>
    <row r="306" spans="1:2" ht="15.75" customHeight="1" x14ac:dyDescent="0.25">
      <c r="A306" s="14"/>
      <c r="B306" s="15"/>
    </row>
    <row r="307" spans="1:2" ht="15.75" customHeight="1" x14ac:dyDescent="0.25">
      <c r="A307" s="14"/>
      <c r="B307" s="15"/>
    </row>
    <row r="308" spans="1:2" ht="15.75" customHeight="1" x14ac:dyDescent="0.25">
      <c r="A308" s="14"/>
      <c r="B308" s="15"/>
    </row>
    <row r="309" spans="1:2" ht="15.75" customHeight="1" x14ac:dyDescent="0.25">
      <c r="A309" s="14"/>
      <c r="B309" s="15"/>
    </row>
    <row r="310" spans="1:2" ht="15.75" customHeight="1" x14ac:dyDescent="0.25">
      <c r="A310" s="14"/>
      <c r="B310" s="15"/>
    </row>
    <row r="311" spans="1:2" ht="15.75" customHeight="1" x14ac:dyDescent="0.25">
      <c r="A311" s="14"/>
      <c r="B311" s="15"/>
    </row>
    <row r="312" spans="1:2" ht="15.75" customHeight="1" x14ac:dyDescent="0.25">
      <c r="A312" s="14"/>
      <c r="B312" s="15"/>
    </row>
    <row r="313" spans="1:2" ht="15.75" customHeight="1" x14ac:dyDescent="0.25">
      <c r="A313" s="14"/>
      <c r="B313" s="15"/>
    </row>
    <row r="314" spans="1:2" ht="15.75" customHeight="1" x14ac:dyDescent="0.25">
      <c r="A314" s="14"/>
      <c r="B314" s="15"/>
    </row>
    <row r="315" spans="1:2" ht="15.75" customHeight="1" x14ac:dyDescent="0.25">
      <c r="A315" s="14"/>
      <c r="B315" s="15"/>
    </row>
    <row r="316" spans="1:2" ht="15.75" customHeight="1" x14ac:dyDescent="0.25">
      <c r="A316" s="14"/>
      <c r="B316" s="15"/>
    </row>
    <row r="317" spans="1:2" ht="15.75" customHeight="1" x14ac:dyDescent="0.25">
      <c r="A317" s="14"/>
      <c r="B317" s="15"/>
    </row>
    <row r="318" spans="1:2" ht="15.75" customHeight="1" x14ac:dyDescent="0.25">
      <c r="A318" s="14"/>
      <c r="B318" s="15"/>
    </row>
    <row r="319" spans="1:2" ht="15.75" customHeight="1" x14ac:dyDescent="0.25">
      <c r="A319" s="14"/>
      <c r="B319" s="15"/>
    </row>
    <row r="320" spans="1:2" ht="15.75" customHeight="1" x14ac:dyDescent="0.25">
      <c r="A320" s="14"/>
      <c r="B320" s="15"/>
    </row>
    <row r="321" spans="1:2" ht="15.75" customHeight="1" x14ac:dyDescent="0.25">
      <c r="A321" s="14"/>
      <c r="B321" s="15"/>
    </row>
    <row r="322" spans="1:2" ht="15.75" customHeight="1" x14ac:dyDescent="0.25">
      <c r="A322" s="14"/>
      <c r="B322" s="15"/>
    </row>
    <row r="323" spans="1:2" ht="15.75" customHeight="1" x14ac:dyDescent="0.25">
      <c r="A323" s="14"/>
      <c r="B323" s="15"/>
    </row>
    <row r="324" spans="1:2" ht="15.75" customHeight="1" x14ac:dyDescent="0.25">
      <c r="A324" s="14"/>
      <c r="B324" s="15"/>
    </row>
    <row r="325" spans="1:2" ht="15.75" customHeight="1" x14ac:dyDescent="0.25">
      <c r="A325" s="14"/>
      <c r="B325" s="15"/>
    </row>
    <row r="326" spans="1:2" ht="15.75" customHeight="1" x14ac:dyDescent="0.25">
      <c r="A326" s="14"/>
      <c r="B326" s="15"/>
    </row>
    <row r="327" spans="1:2" ht="15.75" customHeight="1" x14ac:dyDescent="0.25">
      <c r="A327" s="14"/>
      <c r="B327" s="15"/>
    </row>
    <row r="328" spans="1:2" ht="15.75" customHeight="1" x14ac:dyDescent="0.25">
      <c r="A328" s="14"/>
      <c r="B328" s="15"/>
    </row>
    <row r="329" spans="1:2" ht="15.75" customHeight="1" x14ac:dyDescent="0.25">
      <c r="A329" s="14"/>
      <c r="B329" s="15"/>
    </row>
    <row r="330" spans="1:2" ht="15.75" customHeight="1" x14ac:dyDescent="0.25">
      <c r="A330" s="14"/>
      <c r="B330" s="15"/>
    </row>
    <row r="331" spans="1:2" ht="15.75" customHeight="1" x14ac:dyDescent="0.25">
      <c r="A331" s="14"/>
      <c r="B331" s="15"/>
    </row>
    <row r="332" spans="1:2" ht="15.75" customHeight="1" x14ac:dyDescent="0.25">
      <c r="A332" s="14"/>
      <c r="B332" s="15"/>
    </row>
    <row r="333" spans="1:2" ht="15.75" customHeight="1" x14ac:dyDescent="0.25">
      <c r="A333" s="14"/>
      <c r="B333" s="15"/>
    </row>
    <row r="334" spans="1:2" ht="15.75" customHeight="1" x14ac:dyDescent="0.25">
      <c r="A334" s="14"/>
      <c r="B334" s="15"/>
    </row>
    <row r="335" spans="1:2" ht="15.75" customHeight="1" x14ac:dyDescent="0.25">
      <c r="A335" s="14"/>
      <c r="B335" s="15"/>
    </row>
    <row r="336" spans="1:2" ht="15.75" customHeight="1" x14ac:dyDescent="0.25">
      <c r="A336" s="14"/>
      <c r="B336" s="15"/>
    </row>
    <row r="337" spans="1:2" ht="15.75" customHeight="1" x14ac:dyDescent="0.25">
      <c r="A337" s="14"/>
      <c r="B337" s="15"/>
    </row>
    <row r="338" spans="1:2" ht="15.75" customHeight="1" x14ac:dyDescent="0.25">
      <c r="A338" s="14"/>
      <c r="B338" s="15"/>
    </row>
    <row r="339" spans="1:2" ht="15.75" customHeight="1" x14ac:dyDescent="0.25">
      <c r="A339" s="14"/>
      <c r="B339" s="15"/>
    </row>
    <row r="340" spans="1:2" ht="15.75" customHeight="1" x14ac:dyDescent="0.25">
      <c r="A340" s="14"/>
      <c r="B340" s="15"/>
    </row>
    <row r="341" spans="1:2" ht="15.75" customHeight="1" x14ac:dyDescent="0.25">
      <c r="A341" s="14"/>
      <c r="B341" s="15"/>
    </row>
    <row r="342" spans="1:2" ht="15.75" customHeight="1" x14ac:dyDescent="0.25">
      <c r="A342" s="14"/>
      <c r="B342" s="15"/>
    </row>
    <row r="343" spans="1:2" ht="15.75" customHeight="1" x14ac:dyDescent="0.25">
      <c r="A343" s="14"/>
      <c r="B343" s="15"/>
    </row>
    <row r="344" spans="1:2" ht="15.75" customHeight="1" x14ac:dyDescent="0.25">
      <c r="A344" s="14"/>
      <c r="B344" s="15"/>
    </row>
    <row r="345" spans="1:2" ht="15.75" customHeight="1" x14ac:dyDescent="0.25">
      <c r="A345" s="14"/>
      <c r="B345" s="15"/>
    </row>
    <row r="346" spans="1:2" ht="15.75" customHeight="1" x14ac:dyDescent="0.25">
      <c r="A346" s="14"/>
      <c r="B346" s="15"/>
    </row>
    <row r="347" spans="1:2" ht="15.75" customHeight="1" x14ac:dyDescent="0.25">
      <c r="A347" s="14"/>
      <c r="B347" s="15"/>
    </row>
    <row r="348" spans="1:2" ht="15.75" customHeight="1" x14ac:dyDescent="0.25">
      <c r="A348" s="14"/>
      <c r="B348" s="15"/>
    </row>
    <row r="349" spans="1:2" ht="15.75" customHeight="1" x14ac:dyDescent="0.25">
      <c r="A349" s="14"/>
      <c r="B349" s="15"/>
    </row>
    <row r="350" spans="1:2" ht="15.75" customHeight="1" x14ac:dyDescent="0.25">
      <c r="A350" s="14"/>
      <c r="B350" s="15"/>
    </row>
    <row r="351" spans="1:2" ht="15.75" customHeight="1" x14ac:dyDescent="0.25">
      <c r="A351" s="14"/>
      <c r="B351" s="15"/>
    </row>
    <row r="352" spans="1:2" ht="15.75" customHeight="1" x14ac:dyDescent="0.25">
      <c r="A352" s="14"/>
      <c r="B352" s="15"/>
    </row>
    <row r="353" spans="1:2" ht="15.75" customHeight="1" x14ac:dyDescent="0.25">
      <c r="A353" s="14"/>
      <c r="B353" s="15"/>
    </row>
    <row r="354" spans="1:2" ht="15.75" customHeight="1" x14ac:dyDescent="0.25">
      <c r="A354" s="14"/>
      <c r="B354" s="15"/>
    </row>
    <row r="355" spans="1:2" ht="15.75" customHeight="1" x14ac:dyDescent="0.25">
      <c r="A355" s="14"/>
      <c r="B355" s="15"/>
    </row>
    <row r="356" spans="1:2" ht="15.75" customHeight="1" x14ac:dyDescent="0.25">
      <c r="A356" s="14"/>
      <c r="B356" s="15"/>
    </row>
    <row r="357" spans="1:2" ht="15.75" customHeight="1" x14ac:dyDescent="0.25">
      <c r="A357" s="14"/>
      <c r="B357" s="15"/>
    </row>
    <row r="358" spans="1:2" ht="15.75" customHeight="1" x14ac:dyDescent="0.25">
      <c r="A358" s="14"/>
      <c r="B358" s="15"/>
    </row>
    <row r="359" spans="1:2" ht="15.75" customHeight="1" x14ac:dyDescent="0.25">
      <c r="A359" s="14"/>
      <c r="B359" s="15"/>
    </row>
    <row r="360" spans="1:2" ht="15.75" customHeight="1" x14ac:dyDescent="0.25">
      <c r="A360" s="14"/>
      <c r="B360" s="15"/>
    </row>
    <row r="361" spans="1:2" ht="15.75" customHeight="1" x14ac:dyDescent="0.25">
      <c r="A361" s="14"/>
      <c r="B361" s="15"/>
    </row>
    <row r="362" spans="1:2" ht="15.75" customHeight="1" x14ac:dyDescent="0.25">
      <c r="A362" s="14"/>
      <c r="B362" s="15"/>
    </row>
    <row r="363" spans="1:2" ht="15.75" customHeight="1" x14ac:dyDescent="0.25">
      <c r="A363" s="14"/>
      <c r="B363" s="15"/>
    </row>
    <row r="364" spans="1:2" ht="15.75" customHeight="1" x14ac:dyDescent="0.25">
      <c r="A364" s="14"/>
      <c r="B364" s="15"/>
    </row>
    <row r="365" spans="1:2" ht="15.75" customHeight="1" x14ac:dyDescent="0.25">
      <c r="A365" s="14"/>
      <c r="B365" s="15"/>
    </row>
    <row r="366" spans="1:2" ht="15.75" customHeight="1" x14ac:dyDescent="0.25">
      <c r="A366" s="14"/>
      <c r="B366" s="15"/>
    </row>
    <row r="367" spans="1:2" ht="15.75" customHeight="1" x14ac:dyDescent="0.25">
      <c r="A367" s="14"/>
      <c r="B367" s="15"/>
    </row>
    <row r="368" spans="1:2" ht="15.75" customHeight="1" x14ac:dyDescent="0.25">
      <c r="A368" s="14"/>
      <c r="B368" s="15"/>
    </row>
    <row r="369" spans="1:2" ht="15.75" customHeight="1" x14ac:dyDescent="0.25">
      <c r="A369" s="14"/>
      <c r="B369" s="15"/>
    </row>
    <row r="370" spans="1:2" ht="15.75" customHeight="1" x14ac:dyDescent="0.25">
      <c r="A370" s="14"/>
      <c r="B370" s="15"/>
    </row>
    <row r="371" spans="1:2" ht="15.75" customHeight="1" x14ac:dyDescent="0.25">
      <c r="A371" s="14"/>
      <c r="B371" s="15"/>
    </row>
    <row r="372" spans="1:2" ht="15.75" customHeight="1" x14ac:dyDescent="0.25">
      <c r="A372" s="14"/>
      <c r="B372" s="15"/>
    </row>
    <row r="373" spans="1:2" ht="15.75" customHeight="1" x14ac:dyDescent="0.25">
      <c r="A373" s="14"/>
      <c r="B373" s="15"/>
    </row>
    <row r="374" spans="1:2" ht="15.75" customHeight="1" x14ac:dyDescent="0.25">
      <c r="A374" s="14"/>
      <c r="B374" s="15"/>
    </row>
    <row r="375" spans="1:2" ht="15.75" customHeight="1" x14ac:dyDescent="0.25">
      <c r="A375" s="14"/>
      <c r="B375" s="15"/>
    </row>
    <row r="376" spans="1:2" ht="15.75" customHeight="1" x14ac:dyDescent="0.25">
      <c r="A376" s="14"/>
      <c r="B376" s="15"/>
    </row>
    <row r="377" spans="1:2" ht="15.75" customHeight="1" x14ac:dyDescent="0.25">
      <c r="A377" s="14"/>
      <c r="B377" s="15"/>
    </row>
    <row r="378" spans="1:2" ht="15.75" customHeight="1" x14ac:dyDescent="0.25">
      <c r="A378" s="14"/>
      <c r="B378" s="15"/>
    </row>
    <row r="379" spans="1:2" ht="15.75" customHeight="1" x14ac:dyDescent="0.25">
      <c r="A379" s="14"/>
      <c r="B379" s="15"/>
    </row>
    <row r="380" spans="1:2" ht="15.75" customHeight="1" x14ac:dyDescent="0.25">
      <c r="A380" s="14"/>
      <c r="B380" s="15"/>
    </row>
    <row r="381" spans="1:2" ht="15.75" customHeight="1" x14ac:dyDescent="0.25">
      <c r="A381" s="14"/>
      <c r="B381" s="15"/>
    </row>
    <row r="382" spans="1:2" ht="15.75" customHeight="1" x14ac:dyDescent="0.25">
      <c r="A382" s="14"/>
      <c r="B382" s="15"/>
    </row>
    <row r="383" spans="1:2" ht="15.75" customHeight="1" x14ac:dyDescent="0.25">
      <c r="A383" s="14"/>
      <c r="B383" s="15"/>
    </row>
    <row r="384" spans="1:2" ht="15.75" customHeight="1" x14ac:dyDescent="0.25">
      <c r="A384" s="14"/>
      <c r="B384" s="15"/>
    </row>
    <row r="385" spans="1:2" ht="15.75" customHeight="1" x14ac:dyDescent="0.25">
      <c r="A385" s="14"/>
      <c r="B385" s="15"/>
    </row>
    <row r="386" spans="1:2" ht="15.75" customHeight="1" x14ac:dyDescent="0.25">
      <c r="A386" s="14"/>
      <c r="B386" s="15"/>
    </row>
    <row r="387" spans="1:2" ht="15.75" customHeight="1" x14ac:dyDescent="0.25">
      <c r="A387" s="14"/>
      <c r="B387" s="15"/>
    </row>
    <row r="388" spans="1:2" ht="15.75" customHeight="1" x14ac:dyDescent="0.25">
      <c r="A388" s="14"/>
      <c r="B388" s="15"/>
    </row>
    <row r="389" spans="1:2" ht="15.75" customHeight="1" x14ac:dyDescent="0.25">
      <c r="A389" s="14"/>
      <c r="B389" s="15"/>
    </row>
    <row r="390" spans="1:2" ht="15.75" customHeight="1" x14ac:dyDescent="0.25">
      <c r="A390" s="14"/>
      <c r="B390" s="15"/>
    </row>
    <row r="391" spans="1:2" ht="15.75" customHeight="1" x14ac:dyDescent="0.25">
      <c r="A391" s="14"/>
      <c r="B391" s="15"/>
    </row>
    <row r="392" spans="1:2" ht="15.75" customHeight="1" x14ac:dyDescent="0.25">
      <c r="A392" s="14"/>
      <c r="B392" s="15"/>
    </row>
    <row r="393" spans="1:2" ht="15.75" customHeight="1" x14ac:dyDescent="0.25">
      <c r="A393" s="14"/>
      <c r="B393" s="15"/>
    </row>
    <row r="394" spans="1:2" ht="15.75" customHeight="1" x14ac:dyDescent="0.25">
      <c r="A394" s="14"/>
      <c r="B394" s="15"/>
    </row>
    <row r="395" spans="1:2" ht="15.75" customHeight="1" x14ac:dyDescent="0.25">
      <c r="A395" s="14"/>
      <c r="B395" s="15"/>
    </row>
    <row r="396" spans="1:2" ht="15.75" customHeight="1" x14ac:dyDescent="0.25">
      <c r="A396" s="14"/>
      <c r="B396" s="15"/>
    </row>
    <row r="397" spans="1:2" ht="15.75" customHeight="1" x14ac:dyDescent="0.25">
      <c r="A397" s="14"/>
      <c r="B397" s="15"/>
    </row>
    <row r="398" spans="1:2" ht="15.75" customHeight="1" x14ac:dyDescent="0.25">
      <c r="A398" s="14"/>
      <c r="B398" s="15"/>
    </row>
    <row r="399" spans="1:2" ht="15.75" customHeight="1" x14ac:dyDescent="0.25">
      <c r="A399" s="14"/>
      <c r="B399" s="15"/>
    </row>
    <row r="400" spans="1:2" ht="15.75" customHeight="1" x14ac:dyDescent="0.25">
      <c r="A400" s="14"/>
      <c r="B400" s="15"/>
    </row>
    <row r="401" spans="1:2" ht="15.75" customHeight="1" x14ac:dyDescent="0.25">
      <c r="A401" s="14"/>
      <c r="B401" s="15"/>
    </row>
    <row r="402" spans="1:2" ht="15.75" customHeight="1" x14ac:dyDescent="0.25">
      <c r="A402" s="14"/>
      <c r="B402" s="15"/>
    </row>
    <row r="403" spans="1:2" ht="15.75" customHeight="1" x14ac:dyDescent="0.25">
      <c r="A403" s="14"/>
      <c r="B403" s="15"/>
    </row>
    <row r="404" spans="1:2" ht="15.75" customHeight="1" x14ac:dyDescent="0.25">
      <c r="A404" s="14"/>
      <c r="B404" s="15"/>
    </row>
    <row r="405" spans="1:2" ht="15.75" customHeight="1" x14ac:dyDescent="0.25">
      <c r="A405" s="14"/>
      <c r="B405" s="15"/>
    </row>
    <row r="406" spans="1:2" ht="15.75" customHeight="1" x14ac:dyDescent="0.25">
      <c r="A406" s="14"/>
      <c r="B406" s="15"/>
    </row>
    <row r="407" spans="1:2" ht="15.75" customHeight="1" x14ac:dyDescent="0.25">
      <c r="A407" s="14"/>
      <c r="B407" s="15"/>
    </row>
    <row r="408" spans="1:2" ht="15.75" customHeight="1" x14ac:dyDescent="0.25">
      <c r="A408" s="14"/>
      <c r="B408" s="15"/>
    </row>
    <row r="409" spans="1:2" ht="15.75" customHeight="1" x14ac:dyDescent="0.25">
      <c r="A409" s="14"/>
      <c r="B409" s="15"/>
    </row>
    <row r="410" spans="1:2" ht="15.75" customHeight="1" x14ac:dyDescent="0.25">
      <c r="A410" s="14"/>
      <c r="B410" s="15"/>
    </row>
    <row r="411" spans="1:2" ht="15.75" customHeight="1" x14ac:dyDescent="0.25">
      <c r="A411" s="14"/>
      <c r="B411" s="15"/>
    </row>
    <row r="412" spans="1:2" ht="15.75" customHeight="1" x14ac:dyDescent="0.25">
      <c r="A412" s="14"/>
      <c r="B412" s="15"/>
    </row>
    <row r="413" spans="1:2" ht="15.75" customHeight="1" x14ac:dyDescent="0.25">
      <c r="A413" s="14"/>
      <c r="B413" s="15"/>
    </row>
    <row r="414" spans="1:2" ht="15.75" customHeight="1" x14ac:dyDescent="0.25">
      <c r="A414" s="14"/>
      <c r="B414" s="15"/>
    </row>
    <row r="415" spans="1:2" ht="15.75" customHeight="1" x14ac:dyDescent="0.25">
      <c r="A415" s="14"/>
      <c r="B415" s="15"/>
    </row>
    <row r="416" spans="1:2" ht="15.75" customHeight="1" x14ac:dyDescent="0.25">
      <c r="A416" s="14"/>
      <c r="B416" s="15"/>
    </row>
    <row r="417" spans="1:2" ht="15.75" customHeight="1" x14ac:dyDescent="0.25">
      <c r="A417" s="14"/>
      <c r="B417" s="15"/>
    </row>
    <row r="418" spans="1:2" ht="15.75" customHeight="1" x14ac:dyDescent="0.25">
      <c r="A418" s="14"/>
      <c r="B418" s="15"/>
    </row>
    <row r="419" spans="1:2" ht="15.75" customHeight="1" x14ac:dyDescent="0.25">
      <c r="A419" s="14"/>
      <c r="B419" s="15"/>
    </row>
    <row r="420" spans="1:2" ht="15.75" customHeight="1" x14ac:dyDescent="0.25">
      <c r="A420" s="14"/>
      <c r="B420" s="15"/>
    </row>
    <row r="421" spans="1:2" ht="15.75" customHeight="1" x14ac:dyDescent="0.25">
      <c r="A421" s="14"/>
      <c r="B421" s="15"/>
    </row>
    <row r="422" spans="1:2" ht="15.75" customHeight="1" x14ac:dyDescent="0.25">
      <c r="A422" s="14"/>
      <c r="B422" s="15"/>
    </row>
    <row r="423" spans="1:2" ht="15.75" customHeight="1" x14ac:dyDescent="0.25">
      <c r="A423" s="14"/>
      <c r="B423" s="15"/>
    </row>
    <row r="424" spans="1:2" ht="15.75" customHeight="1" x14ac:dyDescent="0.25">
      <c r="A424" s="14"/>
      <c r="B424" s="15"/>
    </row>
    <row r="425" spans="1:2" ht="15.75" customHeight="1" x14ac:dyDescent="0.25">
      <c r="A425" s="14"/>
      <c r="B425" s="15"/>
    </row>
    <row r="426" spans="1:2" ht="15.75" customHeight="1" x14ac:dyDescent="0.25">
      <c r="A426" s="14"/>
      <c r="B426" s="15"/>
    </row>
    <row r="427" spans="1:2" ht="15.75" customHeight="1" x14ac:dyDescent="0.25">
      <c r="A427" s="14"/>
      <c r="B427" s="15"/>
    </row>
    <row r="428" spans="1:2" ht="15.75" customHeight="1" x14ac:dyDescent="0.25">
      <c r="A428" s="14"/>
      <c r="B428" s="15"/>
    </row>
    <row r="429" spans="1:2" ht="15.75" customHeight="1" x14ac:dyDescent="0.25">
      <c r="A429" s="14"/>
      <c r="B429" s="15"/>
    </row>
    <row r="430" spans="1:2" ht="15.75" customHeight="1" x14ac:dyDescent="0.25">
      <c r="A430" s="14"/>
      <c r="B430" s="15"/>
    </row>
    <row r="431" spans="1:2" ht="15.75" customHeight="1" x14ac:dyDescent="0.25">
      <c r="A431" s="14"/>
      <c r="B431" s="15"/>
    </row>
    <row r="432" spans="1:2" ht="15.75" customHeight="1" x14ac:dyDescent="0.25">
      <c r="A432" s="14"/>
      <c r="B432" s="15"/>
    </row>
    <row r="433" spans="1:2" ht="15.75" customHeight="1" x14ac:dyDescent="0.25">
      <c r="A433" s="14"/>
      <c r="B433" s="15"/>
    </row>
    <row r="434" spans="1:2" ht="15.75" customHeight="1" x14ac:dyDescent="0.25">
      <c r="A434" s="14"/>
      <c r="B434" s="15"/>
    </row>
    <row r="435" spans="1:2" ht="15.75" customHeight="1" x14ac:dyDescent="0.25">
      <c r="A435" s="14"/>
      <c r="B435" s="15"/>
    </row>
    <row r="436" spans="1:2" ht="15.75" customHeight="1" x14ac:dyDescent="0.25">
      <c r="A436" s="14"/>
      <c r="B436" s="15"/>
    </row>
    <row r="437" spans="1:2" ht="15.75" customHeight="1" x14ac:dyDescent="0.25">
      <c r="A437" s="14"/>
      <c r="B437" s="15"/>
    </row>
    <row r="438" spans="1:2" ht="15.75" customHeight="1" x14ac:dyDescent="0.25">
      <c r="A438" s="14"/>
      <c r="B438" s="15"/>
    </row>
    <row r="439" spans="1:2" ht="15.75" customHeight="1" x14ac:dyDescent="0.25">
      <c r="A439" s="14"/>
      <c r="B439" s="15"/>
    </row>
    <row r="440" spans="1:2" ht="15.75" customHeight="1" x14ac:dyDescent="0.25">
      <c r="A440" s="14"/>
      <c r="B440" s="15"/>
    </row>
    <row r="441" spans="1:2" ht="15.75" customHeight="1" x14ac:dyDescent="0.25">
      <c r="A441" s="14"/>
      <c r="B441" s="15"/>
    </row>
    <row r="442" spans="1:2" ht="15.75" customHeight="1" x14ac:dyDescent="0.25">
      <c r="A442" s="14"/>
      <c r="B442" s="15"/>
    </row>
    <row r="443" spans="1:2" ht="15.75" customHeight="1" x14ac:dyDescent="0.25">
      <c r="A443" s="14"/>
      <c r="B443" s="15"/>
    </row>
    <row r="444" spans="1:2" ht="15.75" customHeight="1" x14ac:dyDescent="0.25">
      <c r="A444" s="14"/>
      <c r="B444" s="15"/>
    </row>
    <row r="445" spans="1:2" ht="15.75" customHeight="1" x14ac:dyDescent="0.25">
      <c r="A445" s="14"/>
      <c r="B445" s="15"/>
    </row>
    <row r="446" spans="1:2" ht="15.75" customHeight="1" x14ac:dyDescent="0.25">
      <c r="A446" s="14"/>
      <c r="B446" s="15"/>
    </row>
    <row r="447" spans="1:2" ht="15.75" customHeight="1" x14ac:dyDescent="0.25">
      <c r="A447" s="14"/>
      <c r="B447" s="15"/>
    </row>
    <row r="448" spans="1:2" ht="15.75" customHeight="1" x14ac:dyDescent="0.25">
      <c r="A448" s="14"/>
      <c r="B448" s="15"/>
    </row>
    <row r="449" spans="1:2" ht="15.75" customHeight="1" x14ac:dyDescent="0.25">
      <c r="A449" s="14"/>
      <c r="B449" s="15"/>
    </row>
    <row r="450" spans="1:2" ht="15.75" customHeight="1" x14ac:dyDescent="0.25">
      <c r="A450" s="14"/>
      <c r="B450" s="15"/>
    </row>
    <row r="451" spans="1:2" ht="15.75" customHeight="1" x14ac:dyDescent="0.25">
      <c r="A451" s="14"/>
      <c r="B451" s="15"/>
    </row>
    <row r="452" spans="1:2" ht="15.75" customHeight="1" x14ac:dyDescent="0.25">
      <c r="A452" s="14"/>
      <c r="B452" s="15"/>
    </row>
    <row r="453" spans="1:2" ht="15.75" customHeight="1" x14ac:dyDescent="0.25">
      <c r="A453" s="14"/>
      <c r="B453" s="15"/>
    </row>
    <row r="454" spans="1:2" ht="15.75" customHeight="1" x14ac:dyDescent="0.25">
      <c r="A454" s="14"/>
      <c r="B454" s="15"/>
    </row>
    <row r="455" spans="1:2" ht="15.75" customHeight="1" x14ac:dyDescent="0.25">
      <c r="A455" s="14"/>
      <c r="B455" s="15"/>
    </row>
    <row r="456" spans="1:2" ht="15.75" customHeight="1" x14ac:dyDescent="0.25">
      <c r="A456" s="14"/>
      <c r="B456" s="15"/>
    </row>
    <row r="457" spans="1:2" ht="15.75" customHeight="1" x14ac:dyDescent="0.25">
      <c r="A457" s="14"/>
      <c r="B457" s="15"/>
    </row>
    <row r="458" spans="1:2" ht="15.75" customHeight="1" x14ac:dyDescent="0.25">
      <c r="A458" s="14"/>
      <c r="B458" s="15"/>
    </row>
    <row r="459" spans="1:2" ht="15.75" customHeight="1" x14ac:dyDescent="0.25">
      <c r="A459" s="14"/>
      <c r="B459" s="15"/>
    </row>
    <row r="460" spans="1:2" ht="15.75" customHeight="1" x14ac:dyDescent="0.25">
      <c r="A460" s="14"/>
      <c r="B460" s="15"/>
    </row>
    <row r="461" spans="1:2" ht="15.75" customHeight="1" x14ac:dyDescent="0.25">
      <c r="A461" s="14"/>
      <c r="B461" s="15"/>
    </row>
    <row r="462" spans="1:2" ht="15.75" customHeight="1" x14ac:dyDescent="0.25">
      <c r="A462" s="14"/>
      <c r="B462" s="15"/>
    </row>
    <row r="463" spans="1:2" ht="15.75" customHeight="1" x14ac:dyDescent="0.25">
      <c r="A463" s="14"/>
      <c r="B463" s="15"/>
    </row>
    <row r="464" spans="1:2" ht="15.75" customHeight="1" x14ac:dyDescent="0.25">
      <c r="A464" s="14"/>
      <c r="B464" s="15"/>
    </row>
    <row r="465" spans="1:2" ht="15.75" customHeight="1" x14ac:dyDescent="0.25">
      <c r="A465" s="14"/>
      <c r="B465" s="15"/>
    </row>
    <row r="466" spans="1:2" ht="15.75" customHeight="1" x14ac:dyDescent="0.25">
      <c r="A466" s="14"/>
      <c r="B466" s="15"/>
    </row>
    <row r="467" spans="1:2" ht="15.75" customHeight="1" x14ac:dyDescent="0.25">
      <c r="A467" s="14"/>
      <c r="B467" s="15"/>
    </row>
    <row r="468" spans="1:2" ht="15.75" customHeight="1" x14ac:dyDescent="0.25">
      <c r="A468" s="14"/>
      <c r="B468" s="15"/>
    </row>
    <row r="469" spans="1:2" ht="15.75" customHeight="1" x14ac:dyDescent="0.25">
      <c r="A469" s="14"/>
      <c r="B469" s="15"/>
    </row>
    <row r="470" spans="1:2" ht="15.75" customHeight="1" x14ac:dyDescent="0.25">
      <c r="A470" s="14"/>
      <c r="B470" s="15"/>
    </row>
    <row r="471" spans="1:2" ht="15.75" customHeight="1" x14ac:dyDescent="0.25">
      <c r="A471" s="14"/>
      <c r="B471" s="15"/>
    </row>
    <row r="472" spans="1:2" ht="15.75" customHeight="1" x14ac:dyDescent="0.25">
      <c r="A472" s="14"/>
      <c r="B472" s="15"/>
    </row>
    <row r="473" spans="1:2" ht="15.75" customHeight="1" x14ac:dyDescent="0.25">
      <c r="A473" s="14"/>
      <c r="B473" s="15"/>
    </row>
    <row r="474" spans="1:2" ht="15.75" customHeight="1" x14ac:dyDescent="0.25">
      <c r="A474" s="14"/>
      <c r="B474" s="15"/>
    </row>
    <row r="475" spans="1:2" ht="15.75" customHeight="1" x14ac:dyDescent="0.25">
      <c r="A475" s="14"/>
      <c r="B475" s="15"/>
    </row>
    <row r="476" spans="1:2" ht="15.75" customHeight="1" x14ac:dyDescent="0.25">
      <c r="A476" s="14"/>
      <c r="B476" s="15"/>
    </row>
    <row r="477" spans="1:2" ht="15.75" customHeight="1" x14ac:dyDescent="0.25">
      <c r="A477" s="14"/>
      <c r="B477" s="15"/>
    </row>
    <row r="478" spans="1:2" ht="15.75" customHeight="1" x14ac:dyDescent="0.25">
      <c r="A478" s="14"/>
      <c r="B478" s="15"/>
    </row>
    <row r="479" spans="1:2" ht="15.75" customHeight="1" x14ac:dyDescent="0.25">
      <c r="A479" s="14"/>
      <c r="B479" s="15"/>
    </row>
    <row r="480" spans="1:2" ht="15.75" customHeight="1" x14ac:dyDescent="0.25">
      <c r="A480" s="14"/>
      <c r="B480" s="15"/>
    </row>
    <row r="481" spans="1:2" ht="15.75" customHeight="1" x14ac:dyDescent="0.25">
      <c r="A481" s="14"/>
      <c r="B481" s="15"/>
    </row>
    <row r="482" spans="1:2" ht="15.75" customHeight="1" x14ac:dyDescent="0.25">
      <c r="A482" s="14"/>
      <c r="B482" s="15"/>
    </row>
    <row r="483" spans="1:2" ht="15.75" customHeight="1" x14ac:dyDescent="0.25">
      <c r="A483" s="14"/>
      <c r="B483" s="15"/>
    </row>
    <row r="484" spans="1:2" ht="15.75" customHeight="1" x14ac:dyDescent="0.25">
      <c r="A484" s="14"/>
      <c r="B484" s="15"/>
    </row>
    <row r="485" spans="1:2" ht="15.75" customHeight="1" x14ac:dyDescent="0.25">
      <c r="A485" s="14"/>
      <c r="B485" s="15"/>
    </row>
    <row r="486" spans="1:2" ht="15.75" customHeight="1" x14ac:dyDescent="0.25">
      <c r="A486" s="14"/>
      <c r="B486" s="15"/>
    </row>
    <row r="487" spans="1:2" ht="15.75" customHeight="1" x14ac:dyDescent="0.25">
      <c r="A487" s="14"/>
      <c r="B487" s="15"/>
    </row>
    <row r="488" spans="1:2" ht="15.75" customHeight="1" x14ac:dyDescent="0.25">
      <c r="A488" s="14"/>
      <c r="B488" s="15"/>
    </row>
    <row r="489" spans="1:2" ht="15.75" customHeight="1" x14ac:dyDescent="0.25">
      <c r="A489" s="14"/>
      <c r="B489" s="15"/>
    </row>
    <row r="490" spans="1:2" ht="15.75" customHeight="1" x14ac:dyDescent="0.25">
      <c r="A490" s="14"/>
      <c r="B490" s="15"/>
    </row>
    <row r="491" spans="1:2" ht="15.75" customHeight="1" x14ac:dyDescent="0.25">
      <c r="A491" s="14"/>
      <c r="B491" s="15"/>
    </row>
    <row r="492" spans="1:2" ht="15.75" customHeight="1" x14ac:dyDescent="0.25">
      <c r="A492" s="14"/>
      <c r="B492" s="15"/>
    </row>
    <row r="493" spans="1:2" ht="15.75" customHeight="1" x14ac:dyDescent="0.25">
      <c r="A493" s="14"/>
      <c r="B493" s="15"/>
    </row>
    <row r="494" spans="1:2" ht="15.75" customHeight="1" x14ac:dyDescent="0.25">
      <c r="A494" s="14"/>
      <c r="B494" s="15"/>
    </row>
    <row r="495" spans="1:2" ht="15.75" customHeight="1" x14ac:dyDescent="0.25">
      <c r="A495" s="14"/>
      <c r="B495" s="15"/>
    </row>
    <row r="496" spans="1:2" ht="15.75" customHeight="1" x14ac:dyDescent="0.25">
      <c r="A496" s="14"/>
      <c r="B496" s="15"/>
    </row>
    <row r="497" spans="1:2" ht="15.75" customHeight="1" x14ac:dyDescent="0.25">
      <c r="A497" s="14"/>
      <c r="B497" s="15"/>
    </row>
    <row r="498" spans="1:2" ht="15.75" customHeight="1" x14ac:dyDescent="0.25">
      <c r="A498" s="14"/>
      <c r="B498" s="15"/>
    </row>
    <row r="499" spans="1:2" ht="15.75" customHeight="1" x14ac:dyDescent="0.25">
      <c r="A499" s="14"/>
      <c r="B499" s="15"/>
    </row>
    <row r="500" spans="1:2" ht="15.75" customHeight="1" x14ac:dyDescent="0.25">
      <c r="A500" s="14"/>
      <c r="B500" s="15"/>
    </row>
    <row r="501" spans="1:2" ht="15.75" customHeight="1" x14ac:dyDescent="0.25">
      <c r="A501" s="14"/>
      <c r="B501" s="15"/>
    </row>
    <row r="502" spans="1:2" ht="15.75" customHeight="1" x14ac:dyDescent="0.25">
      <c r="A502" s="14"/>
      <c r="B502" s="15"/>
    </row>
    <row r="503" spans="1:2" ht="15.75" customHeight="1" x14ac:dyDescent="0.25">
      <c r="A503" s="14"/>
      <c r="B503" s="15"/>
    </row>
    <row r="504" spans="1:2" ht="15.75" customHeight="1" x14ac:dyDescent="0.25">
      <c r="A504" s="14"/>
      <c r="B504" s="15"/>
    </row>
    <row r="505" spans="1:2" ht="15.75" customHeight="1" x14ac:dyDescent="0.25">
      <c r="A505" s="14"/>
      <c r="B505" s="15"/>
    </row>
    <row r="506" spans="1:2" ht="15.75" customHeight="1" x14ac:dyDescent="0.25">
      <c r="A506" s="14"/>
      <c r="B506" s="15"/>
    </row>
    <row r="507" spans="1:2" ht="15.75" customHeight="1" x14ac:dyDescent="0.25">
      <c r="A507" s="14"/>
      <c r="B507" s="15"/>
    </row>
    <row r="508" spans="1:2" ht="15.75" customHeight="1" x14ac:dyDescent="0.25">
      <c r="A508" s="14"/>
      <c r="B508" s="15"/>
    </row>
    <row r="509" spans="1:2" ht="15.75" customHeight="1" x14ac:dyDescent="0.25">
      <c r="A509" s="14"/>
      <c r="B509" s="15"/>
    </row>
    <row r="510" spans="1:2" ht="15.75" customHeight="1" x14ac:dyDescent="0.25">
      <c r="A510" s="14"/>
      <c r="B510" s="15"/>
    </row>
    <row r="511" spans="1:2" ht="15.75" customHeight="1" x14ac:dyDescent="0.25">
      <c r="A511" s="14"/>
      <c r="B511" s="15"/>
    </row>
    <row r="512" spans="1:2" ht="15.75" customHeight="1" x14ac:dyDescent="0.25">
      <c r="A512" s="14"/>
      <c r="B512" s="15"/>
    </row>
    <row r="513" spans="1:2" ht="15.75" customHeight="1" x14ac:dyDescent="0.25">
      <c r="A513" s="14"/>
      <c r="B513" s="15"/>
    </row>
    <row r="514" spans="1:2" ht="15.75" customHeight="1" x14ac:dyDescent="0.25">
      <c r="A514" s="14"/>
      <c r="B514" s="15"/>
    </row>
    <row r="515" spans="1:2" ht="15.75" customHeight="1" x14ac:dyDescent="0.25">
      <c r="A515" s="14"/>
      <c r="B515" s="15"/>
    </row>
    <row r="516" spans="1:2" ht="15.75" customHeight="1" x14ac:dyDescent="0.25">
      <c r="A516" s="14"/>
      <c r="B516" s="15"/>
    </row>
    <row r="517" spans="1:2" ht="15.75" customHeight="1" x14ac:dyDescent="0.25">
      <c r="A517" s="14"/>
      <c r="B517" s="15"/>
    </row>
    <row r="518" spans="1:2" ht="15.75" customHeight="1" x14ac:dyDescent="0.25">
      <c r="A518" s="14"/>
      <c r="B518" s="15"/>
    </row>
    <row r="519" spans="1:2" ht="15.75" customHeight="1" x14ac:dyDescent="0.25">
      <c r="A519" s="14"/>
      <c r="B519" s="15"/>
    </row>
    <row r="520" spans="1:2" ht="15.75" customHeight="1" x14ac:dyDescent="0.25">
      <c r="A520" s="14"/>
      <c r="B520" s="15"/>
    </row>
    <row r="521" spans="1:2" ht="15.75" customHeight="1" x14ac:dyDescent="0.25">
      <c r="A521" s="14"/>
      <c r="B521" s="15"/>
    </row>
    <row r="522" spans="1:2" ht="15.75" customHeight="1" x14ac:dyDescent="0.25">
      <c r="A522" s="14"/>
      <c r="B522" s="15"/>
    </row>
    <row r="523" spans="1:2" ht="15.75" customHeight="1" x14ac:dyDescent="0.25">
      <c r="A523" s="14"/>
      <c r="B523" s="15"/>
    </row>
    <row r="524" spans="1:2" ht="15.75" customHeight="1" x14ac:dyDescent="0.25">
      <c r="A524" s="14"/>
      <c r="B524" s="15"/>
    </row>
    <row r="525" spans="1:2" ht="15.75" customHeight="1" x14ac:dyDescent="0.25">
      <c r="A525" s="14"/>
      <c r="B525" s="15"/>
    </row>
    <row r="526" spans="1:2" ht="15.75" customHeight="1" x14ac:dyDescent="0.25">
      <c r="A526" s="14"/>
      <c r="B526" s="15"/>
    </row>
    <row r="527" spans="1:2" ht="15.75" customHeight="1" x14ac:dyDescent="0.25">
      <c r="A527" s="14"/>
      <c r="B527" s="15"/>
    </row>
    <row r="528" spans="1:2" ht="15.75" customHeight="1" x14ac:dyDescent="0.25">
      <c r="A528" s="14"/>
      <c r="B528" s="15"/>
    </row>
    <row r="529" spans="1:2" ht="15.75" customHeight="1" x14ac:dyDescent="0.25">
      <c r="A529" s="14"/>
      <c r="B529" s="15"/>
    </row>
    <row r="530" spans="1:2" ht="15.75" customHeight="1" x14ac:dyDescent="0.25">
      <c r="A530" s="14"/>
      <c r="B530" s="15"/>
    </row>
    <row r="531" spans="1:2" ht="15.75" customHeight="1" x14ac:dyDescent="0.25">
      <c r="A531" s="14"/>
      <c r="B531" s="15"/>
    </row>
    <row r="532" spans="1:2" ht="15.75" customHeight="1" x14ac:dyDescent="0.25">
      <c r="A532" s="14"/>
      <c r="B532" s="15"/>
    </row>
    <row r="533" spans="1:2" ht="15.75" customHeight="1" x14ac:dyDescent="0.25">
      <c r="A533" s="14"/>
      <c r="B533" s="15"/>
    </row>
    <row r="534" spans="1:2" ht="15.75" customHeight="1" x14ac:dyDescent="0.25">
      <c r="A534" s="14"/>
      <c r="B534" s="15"/>
    </row>
    <row r="535" spans="1:2" ht="15.75" customHeight="1" x14ac:dyDescent="0.25">
      <c r="A535" s="14"/>
      <c r="B535" s="15"/>
    </row>
    <row r="536" spans="1:2" ht="15.75" customHeight="1" x14ac:dyDescent="0.25">
      <c r="A536" s="14"/>
      <c r="B536" s="15"/>
    </row>
    <row r="537" spans="1:2" ht="15.75" customHeight="1" x14ac:dyDescent="0.25">
      <c r="A537" s="14"/>
      <c r="B537" s="15"/>
    </row>
    <row r="538" spans="1:2" ht="15.75" customHeight="1" x14ac:dyDescent="0.25">
      <c r="A538" s="14"/>
      <c r="B538" s="15"/>
    </row>
    <row r="539" spans="1:2" ht="15.75" customHeight="1" x14ac:dyDescent="0.25">
      <c r="A539" s="14"/>
      <c r="B539" s="15"/>
    </row>
    <row r="540" spans="1:2" ht="15.75" customHeight="1" x14ac:dyDescent="0.25">
      <c r="A540" s="14"/>
      <c r="B540" s="15"/>
    </row>
    <row r="541" spans="1:2" ht="15.75" customHeight="1" x14ac:dyDescent="0.25">
      <c r="A541" s="14"/>
      <c r="B541" s="15"/>
    </row>
    <row r="542" spans="1:2" ht="15.75" customHeight="1" x14ac:dyDescent="0.25">
      <c r="A542" s="14"/>
      <c r="B542" s="15"/>
    </row>
    <row r="543" spans="1:2" ht="15.75" customHeight="1" x14ac:dyDescent="0.25">
      <c r="A543" s="14"/>
      <c r="B543" s="15"/>
    </row>
    <row r="544" spans="1:2" ht="15.75" customHeight="1" x14ac:dyDescent="0.25">
      <c r="A544" s="14"/>
      <c r="B544" s="15"/>
    </row>
    <row r="545" spans="1:2" ht="15.75" customHeight="1" x14ac:dyDescent="0.25">
      <c r="A545" s="14"/>
      <c r="B545" s="15"/>
    </row>
    <row r="546" spans="1:2" ht="15.75" customHeight="1" x14ac:dyDescent="0.25">
      <c r="A546" s="14"/>
      <c r="B546" s="15"/>
    </row>
    <row r="547" spans="1:2" ht="15.75" customHeight="1" x14ac:dyDescent="0.25">
      <c r="A547" s="14"/>
      <c r="B547" s="15"/>
    </row>
    <row r="548" spans="1:2" ht="15.75" customHeight="1" x14ac:dyDescent="0.25">
      <c r="A548" s="14"/>
      <c r="B548" s="15"/>
    </row>
    <row r="549" spans="1:2" ht="15.75" customHeight="1" x14ac:dyDescent="0.25">
      <c r="A549" s="14"/>
      <c r="B549" s="15"/>
    </row>
    <row r="550" spans="1:2" ht="15.75" customHeight="1" x14ac:dyDescent="0.25">
      <c r="A550" s="14"/>
      <c r="B550" s="15"/>
    </row>
    <row r="551" spans="1:2" ht="15.75" customHeight="1" x14ac:dyDescent="0.25">
      <c r="A551" s="14"/>
      <c r="B551" s="15"/>
    </row>
    <row r="552" spans="1:2" ht="15.75" customHeight="1" x14ac:dyDescent="0.25">
      <c r="A552" s="14"/>
      <c r="B552" s="15"/>
    </row>
    <row r="553" spans="1:2" ht="15.75" customHeight="1" x14ac:dyDescent="0.25">
      <c r="A553" s="14"/>
      <c r="B553" s="15"/>
    </row>
    <row r="554" spans="1:2" ht="15.75" customHeight="1" x14ac:dyDescent="0.25">
      <c r="A554" s="14"/>
      <c r="B554" s="15"/>
    </row>
    <row r="555" spans="1:2" ht="15.75" customHeight="1" x14ac:dyDescent="0.25">
      <c r="A555" s="14"/>
      <c r="B555" s="15"/>
    </row>
    <row r="556" spans="1:2" ht="15.75" customHeight="1" x14ac:dyDescent="0.25">
      <c r="A556" s="14"/>
      <c r="B556" s="15"/>
    </row>
    <row r="557" spans="1:2" ht="15.75" customHeight="1" x14ac:dyDescent="0.25">
      <c r="A557" s="14"/>
      <c r="B557" s="15"/>
    </row>
    <row r="558" spans="1:2" ht="15.75" customHeight="1" x14ac:dyDescent="0.25">
      <c r="A558" s="14"/>
      <c r="B558" s="15"/>
    </row>
    <row r="559" spans="1:2" ht="15.75" customHeight="1" x14ac:dyDescent="0.25">
      <c r="A559" s="14"/>
      <c r="B559" s="15"/>
    </row>
    <row r="560" spans="1:2" ht="15.75" customHeight="1" x14ac:dyDescent="0.25">
      <c r="A560" s="14"/>
      <c r="B560" s="15"/>
    </row>
    <row r="561" spans="1:2" ht="15.75" customHeight="1" x14ac:dyDescent="0.25">
      <c r="A561" s="14"/>
      <c r="B561" s="15"/>
    </row>
    <row r="562" spans="1:2" ht="15.75" customHeight="1" x14ac:dyDescent="0.25">
      <c r="A562" s="14"/>
      <c r="B562" s="15"/>
    </row>
    <row r="563" spans="1:2" ht="15.75" customHeight="1" x14ac:dyDescent="0.25">
      <c r="A563" s="14"/>
      <c r="B563" s="15"/>
    </row>
    <row r="564" spans="1:2" ht="15.75" customHeight="1" x14ac:dyDescent="0.25">
      <c r="A564" s="14"/>
      <c r="B564" s="15"/>
    </row>
    <row r="565" spans="1:2" ht="15.75" customHeight="1" x14ac:dyDescent="0.25">
      <c r="A565" s="14"/>
      <c r="B565" s="15"/>
    </row>
    <row r="566" spans="1:2" ht="15.75" customHeight="1" x14ac:dyDescent="0.25">
      <c r="A566" s="14"/>
      <c r="B566" s="15"/>
    </row>
    <row r="567" spans="1:2" ht="15.75" customHeight="1" x14ac:dyDescent="0.25">
      <c r="A567" s="14"/>
      <c r="B567" s="15"/>
    </row>
    <row r="568" spans="1:2" ht="15.75" customHeight="1" x14ac:dyDescent="0.25">
      <c r="A568" s="14"/>
      <c r="B568" s="15"/>
    </row>
    <row r="569" spans="1:2" ht="15.75" customHeight="1" x14ac:dyDescent="0.25">
      <c r="A569" s="14"/>
      <c r="B569" s="15"/>
    </row>
    <row r="570" spans="1:2" ht="15.75" customHeight="1" x14ac:dyDescent="0.25">
      <c r="A570" s="14"/>
      <c r="B570" s="15"/>
    </row>
    <row r="571" spans="1:2" ht="15.75" customHeight="1" x14ac:dyDescent="0.25">
      <c r="A571" s="14"/>
      <c r="B571" s="15"/>
    </row>
    <row r="572" spans="1:2" ht="15.75" customHeight="1" x14ac:dyDescent="0.25">
      <c r="A572" s="14"/>
      <c r="B572" s="15"/>
    </row>
    <row r="573" spans="1:2" ht="15.75" customHeight="1" x14ac:dyDescent="0.25">
      <c r="A573" s="14"/>
      <c r="B573" s="15"/>
    </row>
    <row r="574" spans="1:2" ht="15.75" customHeight="1" x14ac:dyDescent="0.25">
      <c r="A574" s="14"/>
      <c r="B574" s="15"/>
    </row>
    <row r="575" spans="1:2" ht="15.75" customHeight="1" x14ac:dyDescent="0.25">
      <c r="A575" s="14"/>
      <c r="B575" s="15"/>
    </row>
    <row r="576" spans="1:2" ht="15.75" customHeight="1" x14ac:dyDescent="0.25">
      <c r="A576" s="14"/>
      <c r="B576" s="15"/>
    </row>
    <row r="577" spans="1:2" ht="15.75" customHeight="1" x14ac:dyDescent="0.25">
      <c r="A577" s="14"/>
      <c r="B577" s="15"/>
    </row>
    <row r="578" spans="1:2" ht="15.75" customHeight="1" x14ac:dyDescent="0.25">
      <c r="A578" s="14"/>
      <c r="B578" s="15"/>
    </row>
    <row r="579" spans="1:2" ht="15.75" customHeight="1" x14ac:dyDescent="0.25">
      <c r="A579" s="14"/>
      <c r="B579" s="15"/>
    </row>
    <row r="580" spans="1:2" ht="15.75" customHeight="1" x14ac:dyDescent="0.25">
      <c r="A580" s="14"/>
      <c r="B580" s="15"/>
    </row>
    <row r="581" spans="1:2" ht="15.75" customHeight="1" x14ac:dyDescent="0.25">
      <c r="A581" s="14"/>
      <c r="B581" s="15"/>
    </row>
    <row r="582" spans="1:2" ht="15.75" customHeight="1" x14ac:dyDescent="0.25">
      <c r="A582" s="14"/>
      <c r="B582" s="15"/>
    </row>
    <row r="583" spans="1:2" ht="15.75" customHeight="1" x14ac:dyDescent="0.25">
      <c r="A583" s="14"/>
      <c r="B583" s="15"/>
    </row>
    <row r="584" spans="1:2" ht="15.75" customHeight="1" x14ac:dyDescent="0.25">
      <c r="A584" s="14"/>
      <c r="B584" s="15"/>
    </row>
    <row r="585" spans="1:2" ht="15.75" customHeight="1" x14ac:dyDescent="0.25">
      <c r="A585" s="14"/>
      <c r="B585" s="15"/>
    </row>
    <row r="586" spans="1:2" ht="15.75" customHeight="1" x14ac:dyDescent="0.25">
      <c r="A586" s="14"/>
      <c r="B586" s="15"/>
    </row>
    <row r="587" spans="1:2" ht="15.75" customHeight="1" x14ac:dyDescent="0.25">
      <c r="A587" s="14"/>
      <c r="B587" s="15"/>
    </row>
    <row r="588" spans="1:2" ht="15.75" customHeight="1" x14ac:dyDescent="0.25">
      <c r="A588" s="14"/>
      <c r="B588" s="15"/>
    </row>
    <row r="589" spans="1:2" ht="15.75" customHeight="1" x14ac:dyDescent="0.25">
      <c r="A589" s="14"/>
      <c r="B589" s="15"/>
    </row>
    <row r="590" spans="1:2" ht="15.75" customHeight="1" x14ac:dyDescent="0.25">
      <c r="A590" s="14"/>
      <c r="B590" s="15"/>
    </row>
    <row r="591" spans="1:2" ht="15.75" customHeight="1" x14ac:dyDescent="0.25">
      <c r="A591" s="14"/>
      <c r="B591" s="15"/>
    </row>
    <row r="592" spans="1:2" ht="15.75" customHeight="1" x14ac:dyDescent="0.25">
      <c r="A592" s="14"/>
      <c r="B592" s="15"/>
    </row>
    <row r="593" spans="1:2" ht="15.75" customHeight="1" x14ac:dyDescent="0.25">
      <c r="A593" s="14"/>
      <c r="B593" s="15"/>
    </row>
    <row r="594" spans="1:2" ht="15.75" customHeight="1" x14ac:dyDescent="0.25">
      <c r="A594" s="14"/>
      <c r="B594" s="15"/>
    </row>
    <row r="595" spans="1:2" ht="15.75" customHeight="1" x14ac:dyDescent="0.25">
      <c r="A595" s="14"/>
      <c r="B595" s="15"/>
    </row>
    <row r="596" spans="1:2" ht="15.75" customHeight="1" x14ac:dyDescent="0.25">
      <c r="A596" s="14"/>
      <c r="B596" s="15"/>
    </row>
    <row r="597" spans="1:2" ht="15.75" customHeight="1" x14ac:dyDescent="0.25">
      <c r="A597" s="14"/>
      <c r="B597" s="15"/>
    </row>
    <row r="598" spans="1:2" ht="15.75" customHeight="1" x14ac:dyDescent="0.25">
      <c r="A598" s="14"/>
      <c r="B598" s="15"/>
    </row>
    <row r="599" spans="1:2" ht="15.75" customHeight="1" x14ac:dyDescent="0.25">
      <c r="A599" s="14"/>
      <c r="B599" s="15"/>
    </row>
    <row r="600" spans="1:2" ht="15.75" customHeight="1" x14ac:dyDescent="0.25">
      <c r="A600" s="14"/>
      <c r="B600" s="15"/>
    </row>
    <row r="601" spans="1:2" ht="15.75" customHeight="1" x14ac:dyDescent="0.25">
      <c r="A601" s="14"/>
      <c r="B601" s="15"/>
    </row>
    <row r="602" spans="1:2" ht="15.75" customHeight="1" x14ac:dyDescent="0.25">
      <c r="A602" s="14"/>
      <c r="B602" s="15"/>
    </row>
    <row r="603" spans="1:2" ht="15.75" customHeight="1" x14ac:dyDescent="0.25">
      <c r="A603" s="14"/>
      <c r="B603" s="15"/>
    </row>
    <row r="604" spans="1:2" ht="15.75" customHeight="1" x14ac:dyDescent="0.25">
      <c r="A604" s="14"/>
      <c r="B604" s="15"/>
    </row>
    <row r="605" spans="1:2" ht="15.75" customHeight="1" x14ac:dyDescent="0.25">
      <c r="A605" s="14"/>
      <c r="B605" s="15"/>
    </row>
    <row r="606" spans="1:2" ht="15.75" customHeight="1" x14ac:dyDescent="0.25">
      <c r="A606" s="14"/>
      <c r="B606" s="15"/>
    </row>
    <row r="607" spans="1:2" ht="15.75" customHeight="1" x14ac:dyDescent="0.25">
      <c r="A607" s="14"/>
      <c r="B607" s="15"/>
    </row>
    <row r="608" spans="1:2" ht="15.75" customHeight="1" x14ac:dyDescent="0.25">
      <c r="A608" s="14"/>
      <c r="B608" s="15"/>
    </row>
    <row r="609" spans="1:2" ht="15.75" customHeight="1" x14ac:dyDescent="0.25">
      <c r="A609" s="14"/>
      <c r="B609" s="15"/>
    </row>
    <row r="610" spans="1:2" ht="15.75" customHeight="1" x14ac:dyDescent="0.25">
      <c r="A610" s="14"/>
      <c r="B610" s="15"/>
    </row>
    <row r="611" spans="1:2" ht="15.75" customHeight="1" x14ac:dyDescent="0.25">
      <c r="A611" s="14"/>
      <c r="B611" s="15"/>
    </row>
    <row r="612" spans="1:2" ht="15.75" customHeight="1" x14ac:dyDescent="0.25">
      <c r="A612" s="14"/>
      <c r="B612" s="15"/>
    </row>
    <row r="613" spans="1:2" ht="15.75" customHeight="1" x14ac:dyDescent="0.25">
      <c r="A613" s="14"/>
      <c r="B613" s="15"/>
    </row>
    <row r="614" spans="1:2" ht="15.75" customHeight="1" x14ac:dyDescent="0.25">
      <c r="A614" s="14"/>
      <c r="B614" s="15"/>
    </row>
    <row r="615" spans="1:2" ht="15.75" customHeight="1" x14ac:dyDescent="0.25">
      <c r="A615" s="14"/>
      <c r="B615" s="15"/>
    </row>
    <row r="616" spans="1:2" ht="15.75" customHeight="1" x14ac:dyDescent="0.25">
      <c r="A616" s="14"/>
      <c r="B616" s="15"/>
    </row>
    <row r="617" spans="1:2" ht="15.75" customHeight="1" x14ac:dyDescent="0.25">
      <c r="A617" s="14"/>
      <c r="B617" s="15"/>
    </row>
    <row r="618" spans="1:2" ht="15.75" customHeight="1" x14ac:dyDescent="0.25">
      <c r="A618" s="14"/>
      <c r="B618" s="15"/>
    </row>
    <row r="619" spans="1:2" ht="15.75" customHeight="1" x14ac:dyDescent="0.25">
      <c r="A619" s="14"/>
      <c r="B619" s="15"/>
    </row>
    <row r="620" spans="1:2" ht="15.75" customHeight="1" x14ac:dyDescent="0.25">
      <c r="A620" s="14"/>
      <c r="B620" s="15"/>
    </row>
    <row r="621" spans="1:2" ht="15.75" customHeight="1" x14ac:dyDescent="0.25">
      <c r="A621" s="14"/>
      <c r="B621" s="15"/>
    </row>
    <row r="622" spans="1:2" ht="15.75" customHeight="1" x14ac:dyDescent="0.25">
      <c r="A622" s="14"/>
      <c r="B622" s="15"/>
    </row>
    <row r="623" spans="1:2" ht="15.75" customHeight="1" x14ac:dyDescent="0.25">
      <c r="A623" s="14"/>
      <c r="B623" s="15"/>
    </row>
    <row r="624" spans="1:2" ht="15.75" customHeight="1" x14ac:dyDescent="0.25">
      <c r="A624" s="14"/>
      <c r="B624" s="15"/>
    </row>
    <row r="625" spans="1:2" ht="15.75" customHeight="1" x14ac:dyDescent="0.25">
      <c r="A625" s="14"/>
      <c r="B625" s="15"/>
    </row>
    <row r="626" spans="1:2" ht="15.75" customHeight="1" x14ac:dyDescent="0.25">
      <c r="A626" s="14"/>
      <c r="B626" s="15"/>
    </row>
    <row r="627" spans="1:2" ht="15.75" customHeight="1" x14ac:dyDescent="0.25">
      <c r="A627" s="14"/>
      <c r="B627" s="15"/>
    </row>
    <row r="628" spans="1:2" ht="15.75" customHeight="1" x14ac:dyDescent="0.25">
      <c r="A628" s="14"/>
      <c r="B628" s="15"/>
    </row>
    <row r="629" spans="1:2" ht="15.75" customHeight="1" x14ac:dyDescent="0.25">
      <c r="A629" s="14"/>
      <c r="B629" s="15"/>
    </row>
    <row r="630" spans="1:2" ht="15.75" customHeight="1" x14ac:dyDescent="0.25">
      <c r="A630" s="14"/>
      <c r="B630" s="15"/>
    </row>
    <row r="631" spans="1:2" ht="15.75" customHeight="1" x14ac:dyDescent="0.25">
      <c r="A631" s="14"/>
      <c r="B631" s="15"/>
    </row>
    <row r="632" spans="1:2" ht="15.75" customHeight="1" x14ac:dyDescent="0.25">
      <c r="A632" s="14"/>
      <c r="B632" s="15"/>
    </row>
    <row r="633" spans="1:2" ht="15.75" customHeight="1" x14ac:dyDescent="0.25">
      <c r="A633" s="14"/>
      <c r="B633" s="15"/>
    </row>
    <row r="634" spans="1:2" ht="15.75" customHeight="1" x14ac:dyDescent="0.25">
      <c r="A634" s="14"/>
      <c r="B634" s="15"/>
    </row>
    <row r="635" spans="1:2" ht="15.75" customHeight="1" x14ac:dyDescent="0.25">
      <c r="A635" s="14"/>
      <c r="B635" s="15"/>
    </row>
    <row r="636" spans="1:2" ht="15.75" customHeight="1" x14ac:dyDescent="0.25">
      <c r="A636" s="14"/>
      <c r="B636" s="15"/>
    </row>
    <row r="637" spans="1:2" ht="15.75" customHeight="1" x14ac:dyDescent="0.25">
      <c r="A637" s="14"/>
      <c r="B637" s="15"/>
    </row>
    <row r="638" spans="1:2" ht="15.75" customHeight="1" x14ac:dyDescent="0.25">
      <c r="A638" s="14"/>
      <c r="B638" s="15"/>
    </row>
    <row r="639" spans="1:2" ht="15.75" customHeight="1" x14ac:dyDescent="0.25">
      <c r="A639" s="14"/>
      <c r="B639" s="15"/>
    </row>
    <row r="640" spans="1:2" ht="15.75" customHeight="1" x14ac:dyDescent="0.25">
      <c r="A640" s="14"/>
      <c r="B640" s="15"/>
    </row>
    <row r="641" spans="1:2" ht="15.75" customHeight="1" x14ac:dyDescent="0.25">
      <c r="A641" s="14"/>
      <c r="B641" s="15"/>
    </row>
    <row r="642" spans="1:2" ht="15.75" customHeight="1" x14ac:dyDescent="0.25">
      <c r="A642" s="14"/>
      <c r="B642" s="15"/>
    </row>
    <row r="643" spans="1:2" ht="15.75" customHeight="1" x14ac:dyDescent="0.25">
      <c r="A643" s="14"/>
      <c r="B643" s="15"/>
    </row>
    <row r="644" spans="1:2" ht="15.75" customHeight="1" x14ac:dyDescent="0.25">
      <c r="A644" s="14"/>
      <c r="B644" s="15"/>
    </row>
    <row r="645" spans="1:2" ht="15.75" customHeight="1" x14ac:dyDescent="0.25">
      <c r="A645" s="14"/>
      <c r="B645" s="15"/>
    </row>
    <row r="646" spans="1:2" ht="15.75" customHeight="1" x14ac:dyDescent="0.25">
      <c r="A646" s="14"/>
      <c r="B646" s="15"/>
    </row>
    <row r="647" spans="1:2" ht="15.75" customHeight="1" x14ac:dyDescent="0.25">
      <c r="A647" s="14"/>
      <c r="B647" s="15"/>
    </row>
    <row r="648" spans="1:2" ht="15.75" customHeight="1" x14ac:dyDescent="0.25">
      <c r="A648" s="14"/>
      <c r="B648" s="15"/>
    </row>
    <row r="649" spans="1:2" ht="15.75" customHeight="1" x14ac:dyDescent="0.25">
      <c r="A649" s="14"/>
      <c r="B649" s="15"/>
    </row>
    <row r="650" spans="1:2" ht="15.75" customHeight="1" x14ac:dyDescent="0.25">
      <c r="A650" s="14"/>
      <c r="B650" s="15"/>
    </row>
    <row r="651" spans="1:2" ht="15.75" customHeight="1" x14ac:dyDescent="0.25">
      <c r="A651" s="14"/>
      <c r="B651" s="15"/>
    </row>
    <row r="652" spans="1:2" ht="15.75" customHeight="1" x14ac:dyDescent="0.25">
      <c r="A652" s="14"/>
      <c r="B652" s="15"/>
    </row>
    <row r="653" spans="1:2" ht="15.75" customHeight="1" x14ac:dyDescent="0.25">
      <c r="A653" s="14"/>
      <c r="B653" s="15"/>
    </row>
    <row r="654" spans="1:2" ht="15.75" customHeight="1" x14ac:dyDescent="0.25">
      <c r="A654" s="14"/>
      <c r="B654" s="15"/>
    </row>
    <row r="655" spans="1:2" ht="15.75" customHeight="1" x14ac:dyDescent="0.25">
      <c r="A655" s="14"/>
      <c r="B655" s="15"/>
    </row>
    <row r="656" spans="1:2" ht="15.75" customHeight="1" x14ac:dyDescent="0.25">
      <c r="A656" s="14"/>
      <c r="B656" s="15"/>
    </row>
    <row r="657" spans="1:2" ht="15.75" customHeight="1" x14ac:dyDescent="0.25">
      <c r="A657" s="14"/>
      <c r="B657" s="15"/>
    </row>
    <row r="658" spans="1:2" ht="15.75" customHeight="1" x14ac:dyDescent="0.25">
      <c r="A658" s="14"/>
      <c r="B658" s="15"/>
    </row>
    <row r="659" spans="1:2" ht="15.75" customHeight="1" x14ac:dyDescent="0.25">
      <c r="A659" s="14"/>
      <c r="B659" s="15"/>
    </row>
    <row r="660" spans="1:2" ht="15.75" customHeight="1" x14ac:dyDescent="0.25">
      <c r="A660" s="14"/>
      <c r="B660" s="15"/>
    </row>
    <row r="661" spans="1:2" ht="15.75" customHeight="1" x14ac:dyDescent="0.25">
      <c r="A661" s="14"/>
      <c r="B661" s="15"/>
    </row>
    <row r="662" spans="1:2" ht="15.75" customHeight="1" x14ac:dyDescent="0.25">
      <c r="A662" s="14"/>
      <c r="B662" s="15"/>
    </row>
    <row r="663" spans="1:2" ht="15.75" customHeight="1" x14ac:dyDescent="0.25">
      <c r="A663" s="14"/>
      <c r="B663" s="15"/>
    </row>
    <row r="664" spans="1:2" ht="15.75" customHeight="1" x14ac:dyDescent="0.25">
      <c r="A664" s="14"/>
      <c r="B664" s="15"/>
    </row>
    <row r="665" spans="1:2" ht="15.75" customHeight="1" x14ac:dyDescent="0.25">
      <c r="A665" s="14"/>
      <c r="B665" s="15"/>
    </row>
    <row r="666" spans="1:2" ht="15.75" customHeight="1" x14ac:dyDescent="0.25">
      <c r="A666" s="14"/>
      <c r="B666" s="15"/>
    </row>
    <row r="667" spans="1:2" ht="15.75" customHeight="1" x14ac:dyDescent="0.25">
      <c r="A667" s="14"/>
      <c r="B667" s="15"/>
    </row>
    <row r="668" spans="1:2" ht="15.75" customHeight="1" x14ac:dyDescent="0.25">
      <c r="A668" s="14"/>
      <c r="B668" s="15"/>
    </row>
    <row r="669" spans="1:2" ht="15.75" customHeight="1" x14ac:dyDescent="0.25">
      <c r="A669" s="14"/>
      <c r="B669" s="15"/>
    </row>
    <row r="670" spans="1:2" ht="15.75" customHeight="1" x14ac:dyDescent="0.25">
      <c r="A670" s="14"/>
      <c r="B670" s="15"/>
    </row>
    <row r="671" spans="1:2" ht="15.75" customHeight="1" x14ac:dyDescent="0.25">
      <c r="A671" s="14"/>
      <c r="B671" s="15"/>
    </row>
    <row r="672" spans="1:2" ht="15.75" customHeight="1" x14ac:dyDescent="0.25">
      <c r="A672" s="14"/>
      <c r="B672" s="15"/>
    </row>
    <row r="673" spans="1:2" ht="15.75" customHeight="1" x14ac:dyDescent="0.25">
      <c r="A673" s="14"/>
      <c r="B673" s="15"/>
    </row>
    <row r="674" spans="1:2" ht="15.75" customHeight="1" x14ac:dyDescent="0.25">
      <c r="A674" s="14"/>
      <c r="B674" s="15"/>
    </row>
    <row r="675" spans="1:2" ht="15.75" customHeight="1" x14ac:dyDescent="0.25">
      <c r="A675" s="14"/>
      <c r="B675" s="15"/>
    </row>
    <row r="676" spans="1:2" ht="15.75" customHeight="1" x14ac:dyDescent="0.25">
      <c r="A676" s="14"/>
      <c r="B676" s="15"/>
    </row>
    <row r="677" spans="1:2" ht="15.75" customHeight="1" x14ac:dyDescent="0.25">
      <c r="A677" s="14"/>
      <c r="B677" s="15"/>
    </row>
    <row r="678" spans="1:2" ht="15.75" customHeight="1" x14ac:dyDescent="0.25">
      <c r="A678" s="14"/>
      <c r="B678" s="15"/>
    </row>
    <row r="679" spans="1:2" ht="15.75" customHeight="1" x14ac:dyDescent="0.25">
      <c r="A679" s="14"/>
      <c r="B679" s="15"/>
    </row>
    <row r="680" spans="1:2" ht="15.75" customHeight="1" x14ac:dyDescent="0.25">
      <c r="A680" s="14"/>
      <c r="B680" s="15"/>
    </row>
    <row r="681" spans="1:2" ht="15.75" customHeight="1" x14ac:dyDescent="0.25">
      <c r="A681" s="14"/>
      <c r="B681" s="15"/>
    </row>
    <row r="682" spans="1:2" ht="15.75" customHeight="1" x14ac:dyDescent="0.25">
      <c r="A682" s="14"/>
      <c r="B682" s="15"/>
    </row>
    <row r="683" spans="1:2" ht="15.75" customHeight="1" x14ac:dyDescent="0.25">
      <c r="A683" s="14"/>
      <c r="B683" s="15"/>
    </row>
    <row r="684" spans="1:2" ht="15.75" customHeight="1" x14ac:dyDescent="0.25">
      <c r="A684" s="14"/>
      <c r="B684" s="15"/>
    </row>
    <row r="685" spans="1:2" ht="15.75" customHeight="1" x14ac:dyDescent="0.25">
      <c r="A685" s="14"/>
      <c r="B685" s="15"/>
    </row>
    <row r="686" spans="1:2" ht="15.75" customHeight="1" x14ac:dyDescent="0.25">
      <c r="A686" s="14"/>
      <c r="B686" s="15"/>
    </row>
    <row r="687" spans="1:2" ht="15.75" customHeight="1" x14ac:dyDescent="0.25">
      <c r="A687" s="14"/>
      <c r="B687" s="15"/>
    </row>
    <row r="688" spans="1:2" ht="15.75" customHeight="1" x14ac:dyDescent="0.25">
      <c r="A688" s="14"/>
      <c r="B688" s="15"/>
    </row>
    <row r="689" spans="1:2" ht="15.75" customHeight="1" x14ac:dyDescent="0.25">
      <c r="A689" s="14"/>
      <c r="B689" s="15"/>
    </row>
    <row r="690" spans="1:2" ht="15.75" customHeight="1" x14ac:dyDescent="0.25">
      <c r="A690" s="14"/>
      <c r="B690" s="15"/>
    </row>
    <row r="691" spans="1:2" ht="15.75" customHeight="1" x14ac:dyDescent="0.25">
      <c r="A691" s="14"/>
      <c r="B691" s="15"/>
    </row>
    <row r="692" spans="1:2" ht="15.75" customHeight="1" x14ac:dyDescent="0.25">
      <c r="A692" s="14"/>
      <c r="B692" s="15"/>
    </row>
    <row r="693" spans="1:2" ht="15.75" customHeight="1" x14ac:dyDescent="0.25">
      <c r="A693" s="14"/>
      <c r="B693" s="15"/>
    </row>
    <row r="694" spans="1:2" ht="15.75" customHeight="1" x14ac:dyDescent="0.25">
      <c r="A694" s="14"/>
      <c r="B694" s="15"/>
    </row>
    <row r="695" spans="1:2" ht="15.75" customHeight="1" x14ac:dyDescent="0.25">
      <c r="A695" s="14"/>
      <c r="B695" s="15"/>
    </row>
    <row r="696" spans="1:2" ht="15.75" customHeight="1" x14ac:dyDescent="0.25">
      <c r="A696" s="14"/>
      <c r="B696" s="15"/>
    </row>
    <row r="697" spans="1:2" ht="15.75" customHeight="1" x14ac:dyDescent="0.25">
      <c r="A697" s="14"/>
      <c r="B697" s="15"/>
    </row>
    <row r="698" spans="1:2" ht="15.75" customHeight="1" x14ac:dyDescent="0.25">
      <c r="A698" s="14"/>
      <c r="B698" s="15"/>
    </row>
    <row r="699" spans="1:2" ht="15.75" customHeight="1" x14ac:dyDescent="0.25">
      <c r="A699" s="14"/>
      <c r="B699" s="15"/>
    </row>
    <row r="700" spans="1:2" ht="15.75" customHeight="1" x14ac:dyDescent="0.25">
      <c r="A700" s="14"/>
      <c r="B700" s="15"/>
    </row>
    <row r="701" spans="1:2" ht="15.75" customHeight="1" x14ac:dyDescent="0.25">
      <c r="A701" s="14"/>
      <c r="B701" s="15"/>
    </row>
    <row r="702" spans="1:2" ht="15.75" customHeight="1" x14ac:dyDescent="0.25">
      <c r="A702" s="14"/>
      <c r="B702" s="15"/>
    </row>
    <row r="703" spans="1:2" ht="15.75" customHeight="1" x14ac:dyDescent="0.25">
      <c r="A703" s="14"/>
      <c r="B703" s="15"/>
    </row>
    <row r="704" spans="1:2" ht="15.75" customHeight="1" x14ac:dyDescent="0.25">
      <c r="A704" s="14"/>
      <c r="B704" s="15"/>
    </row>
    <row r="705" spans="1:2" ht="15.75" customHeight="1" x14ac:dyDescent="0.25">
      <c r="A705" s="14"/>
      <c r="B705" s="15"/>
    </row>
    <row r="706" spans="1:2" ht="15.75" customHeight="1" x14ac:dyDescent="0.25">
      <c r="A706" s="14"/>
      <c r="B706" s="15"/>
    </row>
    <row r="707" spans="1:2" ht="15.75" customHeight="1" x14ac:dyDescent="0.25">
      <c r="A707" s="14"/>
      <c r="B707" s="15"/>
    </row>
    <row r="708" spans="1:2" ht="15.75" customHeight="1" x14ac:dyDescent="0.25">
      <c r="A708" s="14"/>
      <c r="B708" s="15"/>
    </row>
    <row r="709" spans="1:2" ht="15.75" customHeight="1" x14ac:dyDescent="0.25">
      <c r="A709" s="14"/>
      <c r="B709" s="15"/>
    </row>
    <row r="710" spans="1:2" ht="15.75" customHeight="1" x14ac:dyDescent="0.25">
      <c r="A710" s="14"/>
      <c r="B710" s="15"/>
    </row>
    <row r="711" spans="1:2" ht="15.75" customHeight="1" x14ac:dyDescent="0.25">
      <c r="A711" s="14"/>
      <c r="B711" s="15"/>
    </row>
    <row r="712" spans="1:2" ht="15.75" customHeight="1" x14ac:dyDescent="0.25">
      <c r="A712" s="14"/>
      <c r="B712" s="15"/>
    </row>
    <row r="713" spans="1:2" ht="15.75" customHeight="1" x14ac:dyDescent="0.25">
      <c r="A713" s="14"/>
      <c r="B713" s="15"/>
    </row>
    <row r="714" spans="1:2" ht="15.75" customHeight="1" x14ac:dyDescent="0.25">
      <c r="A714" s="14"/>
      <c r="B714" s="15"/>
    </row>
    <row r="715" spans="1:2" ht="15.75" customHeight="1" x14ac:dyDescent="0.25">
      <c r="A715" s="14"/>
      <c r="B715" s="15"/>
    </row>
    <row r="716" spans="1:2" ht="15.75" customHeight="1" x14ac:dyDescent="0.25">
      <c r="A716" s="14"/>
      <c r="B716" s="15"/>
    </row>
    <row r="717" spans="1:2" ht="15.75" customHeight="1" x14ac:dyDescent="0.25">
      <c r="A717" s="14"/>
      <c r="B717" s="15"/>
    </row>
    <row r="718" spans="1:2" ht="15.75" customHeight="1" x14ac:dyDescent="0.25">
      <c r="A718" s="14"/>
      <c r="B718" s="15"/>
    </row>
    <row r="719" spans="1:2" ht="15.75" customHeight="1" x14ac:dyDescent="0.25">
      <c r="A719" s="14"/>
      <c r="B719" s="15"/>
    </row>
    <row r="720" spans="1:2" ht="15.75" customHeight="1" x14ac:dyDescent="0.25">
      <c r="A720" s="14"/>
      <c r="B720" s="15"/>
    </row>
    <row r="721" spans="1:2" ht="15.75" customHeight="1" x14ac:dyDescent="0.25">
      <c r="A721" s="14"/>
      <c r="B721" s="15"/>
    </row>
    <row r="722" spans="1:2" ht="15.75" customHeight="1" x14ac:dyDescent="0.25">
      <c r="A722" s="14"/>
      <c r="B722" s="15"/>
    </row>
    <row r="723" spans="1:2" ht="15.75" customHeight="1" x14ac:dyDescent="0.25">
      <c r="A723" s="14"/>
      <c r="B723" s="15"/>
    </row>
    <row r="724" spans="1:2" ht="15.75" customHeight="1" x14ac:dyDescent="0.25">
      <c r="A724" s="14"/>
      <c r="B724" s="15"/>
    </row>
    <row r="725" spans="1:2" ht="15.75" customHeight="1" x14ac:dyDescent="0.25">
      <c r="A725" s="14"/>
      <c r="B725" s="15"/>
    </row>
    <row r="726" spans="1:2" ht="15.75" customHeight="1" x14ac:dyDescent="0.25">
      <c r="A726" s="14"/>
      <c r="B726" s="15"/>
    </row>
    <row r="727" spans="1:2" ht="15.75" customHeight="1" x14ac:dyDescent="0.25">
      <c r="A727" s="14"/>
      <c r="B727" s="15"/>
    </row>
    <row r="728" spans="1:2" ht="15.75" customHeight="1" x14ac:dyDescent="0.25">
      <c r="A728" s="14"/>
      <c r="B728" s="15"/>
    </row>
    <row r="729" spans="1:2" ht="15.75" customHeight="1" x14ac:dyDescent="0.25">
      <c r="A729" s="14"/>
      <c r="B729" s="15"/>
    </row>
    <row r="730" spans="1:2" ht="15.75" customHeight="1" x14ac:dyDescent="0.25">
      <c r="A730" s="14"/>
      <c r="B730" s="15"/>
    </row>
    <row r="731" spans="1:2" ht="15.75" customHeight="1" x14ac:dyDescent="0.25">
      <c r="A731" s="14"/>
      <c r="B731" s="15"/>
    </row>
    <row r="732" spans="1:2" ht="15.75" customHeight="1" x14ac:dyDescent="0.25">
      <c r="A732" s="14"/>
      <c r="B732" s="15"/>
    </row>
    <row r="733" spans="1:2" ht="15.75" customHeight="1" x14ac:dyDescent="0.25">
      <c r="A733" s="14"/>
      <c r="B733" s="15"/>
    </row>
    <row r="734" spans="1:2" ht="15.75" customHeight="1" x14ac:dyDescent="0.25">
      <c r="A734" s="14"/>
      <c r="B734" s="15"/>
    </row>
    <row r="735" spans="1:2" ht="15.75" customHeight="1" x14ac:dyDescent="0.25">
      <c r="A735" s="14"/>
      <c r="B735" s="15"/>
    </row>
    <row r="736" spans="1:2" ht="15.75" customHeight="1" x14ac:dyDescent="0.25">
      <c r="A736" s="14"/>
      <c r="B736" s="15"/>
    </row>
    <row r="737" spans="1:2" ht="15.75" customHeight="1" x14ac:dyDescent="0.25">
      <c r="A737" s="14"/>
      <c r="B737" s="15"/>
    </row>
    <row r="738" spans="1:2" ht="15.75" customHeight="1" x14ac:dyDescent="0.25">
      <c r="A738" s="14"/>
      <c r="B738" s="15"/>
    </row>
    <row r="739" spans="1:2" ht="15.75" customHeight="1" x14ac:dyDescent="0.25">
      <c r="A739" s="14"/>
      <c r="B739" s="15"/>
    </row>
    <row r="740" spans="1:2" ht="15.75" customHeight="1" x14ac:dyDescent="0.25">
      <c r="A740" s="14"/>
      <c r="B740" s="15"/>
    </row>
    <row r="741" spans="1:2" ht="15.75" customHeight="1" x14ac:dyDescent="0.25">
      <c r="A741" s="14"/>
      <c r="B741" s="15"/>
    </row>
    <row r="742" spans="1:2" ht="15.75" customHeight="1" x14ac:dyDescent="0.25">
      <c r="A742" s="14"/>
      <c r="B742" s="15"/>
    </row>
    <row r="743" spans="1:2" ht="15.75" customHeight="1" x14ac:dyDescent="0.25">
      <c r="A743" s="14"/>
      <c r="B743" s="15"/>
    </row>
    <row r="744" spans="1:2" ht="15.75" customHeight="1" x14ac:dyDescent="0.25">
      <c r="A744" s="14"/>
      <c r="B744" s="15"/>
    </row>
    <row r="745" spans="1:2" ht="15.75" customHeight="1" x14ac:dyDescent="0.25">
      <c r="A745" s="14"/>
      <c r="B745" s="15"/>
    </row>
    <row r="746" spans="1:2" ht="15.75" customHeight="1" x14ac:dyDescent="0.25">
      <c r="A746" s="14"/>
      <c r="B746" s="15"/>
    </row>
    <row r="747" spans="1:2" ht="15.75" customHeight="1" x14ac:dyDescent="0.25">
      <c r="A747" s="14"/>
      <c r="B747" s="15"/>
    </row>
    <row r="748" spans="1:2" ht="15.75" customHeight="1" x14ac:dyDescent="0.25">
      <c r="A748" s="14"/>
      <c r="B748" s="15"/>
    </row>
    <row r="749" spans="1:2" ht="15.75" customHeight="1" x14ac:dyDescent="0.25">
      <c r="A749" s="14"/>
      <c r="B749" s="15"/>
    </row>
    <row r="750" spans="1:2" ht="15.75" customHeight="1" x14ac:dyDescent="0.25">
      <c r="A750" s="14"/>
      <c r="B750" s="15"/>
    </row>
    <row r="751" spans="1:2" ht="15.75" customHeight="1" x14ac:dyDescent="0.25">
      <c r="A751" s="14"/>
      <c r="B751" s="15"/>
    </row>
    <row r="752" spans="1:2" ht="15.75" customHeight="1" x14ac:dyDescent="0.25">
      <c r="A752" s="14"/>
      <c r="B752" s="15"/>
    </row>
    <row r="753" spans="1:2" ht="15.75" customHeight="1" x14ac:dyDescent="0.25">
      <c r="A753" s="14"/>
      <c r="B753" s="15"/>
    </row>
    <row r="754" spans="1:2" ht="15.75" customHeight="1" x14ac:dyDescent="0.25">
      <c r="A754" s="14"/>
      <c r="B754" s="15"/>
    </row>
    <row r="755" spans="1:2" ht="15.75" customHeight="1" x14ac:dyDescent="0.25">
      <c r="A755" s="14"/>
      <c r="B755" s="15"/>
    </row>
    <row r="756" spans="1:2" ht="15.75" customHeight="1" x14ac:dyDescent="0.25">
      <c r="A756" s="14"/>
      <c r="B756" s="15"/>
    </row>
    <row r="757" spans="1:2" ht="15.75" customHeight="1" x14ac:dyDescent="0.25">
      <c r="A757" s="14"/>
      <c r="B757" s="15"/>
    </row>
    <row r="758" spans="1:2" ht="15.75" customHeight="1" x14ac:dyDescent="0.25">
      <c r="A758" s="14"/>
      <c r="B758" s="15"/>
    </row>
    <row r="759" spans="1:2" ht="15.75" customHeight="1" x14ac:dyDescent="0.25">
      <c r="A759" s="14"/>
      <c r="B759" s="15"/>
    </row>
    <row r="760" spans="1:2" ht="15.75" customHeight="1" x14ac:dyDescent="0.25">
      <c r="A760" s="14"/>
      <c r="B760" s="15"/>
    </row>
    <row r="761" spans="1:2" ht="15.75" customHeight="1" x14ac:dyDescent="0.25">
      <c r="A761" s="14"/>
      <c r="B761" s="15"/>
    </row>
    <row r="762" spans="1:2" ht="15.75" customHeight="1" x14ac:dyDescent="0.25">
      <c r="A762" s="14"/>
      <c r="B762" s="15"/>
    </row>
    <row r="763" spans="1:2" ht="15.75" customHeight="1" x14ac:dyDescent="0.25">
      <c r="A763" s="14"/>
      <c r="B763" s="15"/>
    </row>
    <row r="764" spans="1:2" ht="15.75" customHeight="1" x14ac:dyDescent="0.25">
      <c r="A764" s="14"/>
      <c r="B764" s="15"/>
    </row>
    <row r="765" spans="1:2" ht="15.75" customHeight="1" x14ac:dyDescent="0.25">
      <c r="A765" s="14"/>
      <c r="B765" s="15"/>
    </row>
    <row r="766" spans="1:2" ht="15.75" customHeight="1" x14ac:dyDescent="0.25">
      <c r="A766" s="14"/>
      <c r="B766" s="15"/>
    </row>
    <row r="767" spans="1:2" ht="15.75" customHeight="1" x14ac:dyDescent="0.25">
      <c r="A767" s="14"/>
      <c r="B767" s="15"/>
    </row>
    <row r="768" spans="1:2" ht="15.75" customHeight="1" x14ac:dyDescent="0.25">
      <c r="A768" s="14"/>
      <c r="B768" s="15"/>
    </row>
    <row r="769" spans="1:2" ht="15.75" customHeight="1" x14ac:dyDescent="0.25">
      <c r="A769" s="14"/>
      <c r="B769" s="15"/>
    </row>
    <row r="770" spans="1:2" ht="15.75" customHeight="1" x14ac:dyDescent="0.25">
      <c r="A770" s="14"/>
      <c r="B770" s="15"/>
    </row>
    <row r="771" spans="1:2" ht="15.75" customHeight="1" x14ac:dyDescent="0.25">
      <c r="A771" s="14"/>
      <c r="B771" s="15"/>
    </row>
    <row r="772" spans="1:2" ht="15.75" customHeight="1" x14ac:dyDescent="0.25">
      <c r="A772" s="14"/>
      <c r="B772" s="15"/>
    </row>
    <row r="773" spans="1:2" ht="15.75" customHeight="1" x14ac:dyDescent="0.25">
      <c r="A773" s="14"/>
      <c r="B773" s="15"/>
    </row>
    <row r="774" spans="1:2" ht="15.75" customHeight="1" x14ac:dyDescent="0.25">
      <c r="A774" s="14"/>
      <c r="B774" s="15"/>
    </row>
    <row r="775" spans="1:2" ht="15.75" customHeight="1" x14ac:dyDescent="0.25">
      <c r="A775" s="14"/>
      <c r="B775" s="15"/>
    </row>
    <row r="776" spans="1:2" ht="15.75" customHeight="1" x14ac:dyDescent="0.25">
      <c r="A776" s="14"/>
      <c r="B776" s="15"/>
    </row>
    <row r="777" spans="1:2" ht="15.75" customHeight="1" x14ac:dyDescent="0.25">
      <c r="A777" s="14"/>
      <c r="B777" s="15"/>
    </row>
    <row r="778" spans="1:2" ht="15.75" customHeight="1" x14ac:dyDescent="0.25">
      <c r="A778" s="14"/>
      <c r="B778" s="15"/>
    </row>
    <row r="779" spans="1:2" ht="15.75" customHeight="1" x14ac:dyDescent="0.25">
      <c r="A779" s="14"/>
      <c r="B779" s="15"/>
    </row>
    <row r="780" spans="1:2" ht="15.75" customHeight="1" x14ac:dyDescent="0.25">
      <c r="A780" s="14"/>
      <c r="B780" s="15"/>
    </row>
    <row r="781" spans="1:2" ht="15.75" customHeight="1" x14ac:dyDescent="0.25">
      <c r="A781" s="14"/>
      <c r="B781" s="15"/>
    </row>
    <row r="782" spans="1:2" ht="15.75" customHeight="1" x14ac:dyDescent="0.25">
      <c r="A782" s="14"/>
      <c r="B782" s="15"/>
    </row>
    <row r="783" spans="1:2" ht="15.75" customHeight="1" x14ac:dyDescent="0.25">
      <c r="A783" s="14"/>
      <c r="B783" s="15"/>
    </row>
    <row r="784" spans="1:2" ht="15.75" customHeight="1" x14ac:dyDescent="0.25">
      <c r="A784" s="14"/>
      <c r="B784" s="15"/>
    </row>
    <row r="785" spans="1:2" ht="15.75" customHeight="1" x14ac:dyDescent="0.25">
      <c r="A785" s="14"/>
      <c r="B785" s="15"/>
    </row>
    <row r="786" spans="1:2" ht="15.75" customHeight="1" x14ac:dyDescent="0.25">
      <c r="A786" s="14"/>
      <c r="B786" s="15"/>
    </row>
    <row r="787" spans="1:2" ht="15.75" customHeight="1" x14ac:dyDescent="0.25">
      <c r="A787" s="14"/>
      <c r="B787" s="15"/>
    </row>
    <row r="788" spans="1:2" ht="15.75" customHeight="1" x14ac:dyDescent="0.25">
      <c r="A788" s="14"/>
      <c r="B788" s="15"/>
    </row>
    <row r="789" spans="1:2" ht="15.75" customHeight="1" x14ac:dyDescent="0.25">
      <c r="A789" s="14"/>
      <c r="B789" s="15"/>
    </row>
    <row r="790" spans="1:2" ht="15.75" customHeight="1" x14ac:dyDescent="0.25">
      <c r="A790" s="14"/>
      <c r="B790" s="15"/>
    </row>
    <row r="791" spans="1:2" ht="15.75" customHeight="1" x14ac:dyDescent="0.25">
      <c r="A791" s="14"/>
      <c r="B791" s="15"/>
    </row>
    <row r="792" spans="1:2" ht="15.75" customHeight="1" x14ac:dyDescent="0.25">
      <c r="A792" s="14"/>
      <c r="B792" s="15"/>
    </row>
    <row r="793" spans="1:2" ht="15.75" customHeight="1" x14ac:dyDescent="0.25">
      <c r="A793" s="14"/>
      <c r="B793" s="15"/>
    </row>
    <row r="794" spans="1:2" ht="15.75" customHeight="1" x14ac:dyDescent="0.25">
      <c r="A794" s="14"/>
      <c r="B794" s="15"/>
    </row>
    <row r="795" spans="1:2" ht="15.75" customHeight="1" x14ac:dyDescent="0.25">
      <c r="A795" s="14"/>
      <c r="B795" s="15"/>
    </row>
    <row r="796" spans="1:2" ht="15.75" customHeight="1" x14ac:dyDescent="0.25">
      <c r="A796" s="14"/>
      <c r="B796" s="15"/>
    </row>
    <row r="797" spans="1:2" ht="15.75" customHeight="1" x14ac:dyDescent="0.25">
      <c r="A797" s="14"/>
      <c r="B797" s="15"/>
    </row>
    <row r="798" spans="1:2" ht="15.75" customHeight="1" x14ac:dyDescent="0.25">
      <c r="A798" s="14"/>
      <c r="B798" s="15"/>
    </row>
    <row r="799" spans="1:2" ht="15.75" customHeight="1" x14ac:dyDescent="0.25">
      <c r="A799" s="14"/>
      <c r="B799" s="15"/>
    </row>
    <row r="800" spans="1:2" ht="15.75" customHeight="1" x14ac:dyDescent="0.25">
      <c r="A800" s="14"/>
      <c r="B800" s="15"/>
    </row>
    <row r="801" spans="1:2" ht="15.75" customHeight="1" x14ac:dyDescent="0.25">
      <c r="A801" s="14"/>
      <c r="B801" s="15"/>
    </row>
    <row r="802" spans="1:2" ht="15.75" customHeight="1" x14ac:dyDescent="0.25">
      <c r="A802" s="14"/>
      <c r="B802" s="15"/>
    </row>
    <row r="803" spans="1:2" ht="15.75" customHeight="1" x14ac:dyDescent="0.25">
      <c r="A803" s="14"/>
      <c r="B803" s="15"/>
    </row>
    <row r="804" spans="1:2" ht="15.75" customHeight="1" x14ac:dyDescent="0.25">
      <c r="A804" s="14"/>
      <c r="B804" s="15"/>
    </row>
    <row r="805" spans="1:2" ht="15.75" customHeight="1" x14ac:dyDescent="0.25">
      <c r="A805" s="14"/>
      <c r="B805" s="15"/>
    </row>
    <row r="806" spans="1:2" ht="15.75" customHeight="1" x14ac:dyDescent="0.25">
      <c r="A806" s="14"/>
      <c r="B806" s="15"/>
    </row>
    <row r="807" spans="1:2" ht="15.75" customHeight="1" x14ac:dyDescent="0.25">
      <c r="A807" s="14"/>
      <c r="B807" s="15"/>
    </row>
    <row r="808" spans="1:2" ht="15.75" customHeight="1" x14ac:dyDescent="0.25">
      <c r="A808" s="14"/>
      <c r="B808" s="15"/>
    </row>
    <row r="809" spans="1:2" ht="15.75" customHeight="1" x14ac:dyDescent="0.25">
      <c r="A809" s="14"/>
      <c r="B809" s="15"/>
    </row>
    <row r="810" spans="1:2" ht="15.75" customHeight="1" x14ac:dyDescent="0.25">
      <c r="A810" s="14"/>
      <c r="B810" s="15"/>
    </row>
    <row r="811" spans="1:2" ht="15.75" customHeight="1" x14ac:dyDescent="0.25">
      <c r="A811" s="14"/>
      <c r="B811" s="15"/>
    </row>
    <row r="812" spans="1:2" ht="15.75" customHeight="1" x14ac:dyDescent="0.25">
      <c r="A812" s="14"/>
      <c r="B812" s="15"/>
    </row>
    <row r="813" spans="1:2" ht="15.75" customHeight="1" x14ac:dyDescent="0.25">
      <c r="A813" s="14"/>
      <c r="B813" s="15"/>
    </row>
    <row r="814" spans="1:2" ht="15.75" customHeight="1" x14ac:dyDescent="0.25">
      <c r="A814" s="14"/>
      <c r="B814" s="15"/>
    </row>
    <row r="815" spans="1:2" ht="15.75" customHeight="1" x14ac:dyDescent="0.25">
      <c r="A815" s="14"/>
      <c r="B815" s="15"/>
    </row>
    <row r="816" spans="1:2" ht="15.75" customHeight="1" x14ac:dyDescent="0.25">
      <c r="A816" s="14"/>
      <c r="B816" s="15"/>
    </row>
    <row r="817" spans="1:2" ht="15.75" customHeight="1" x14ac:dyDescent="0.25">
      <c r="A817" s="14"/>
      <c r="B817" s="15"/>
    </row>
    <row r="818" spans="1:2" ht="15.75" customHeight="1" x14ac:dyDescent="0.25">
      <c r="A818" s="14"/>
      <c r="B818" s="15"/>
    </row>
    <row r="819" spans="1:2" ht="15.75" customHeight="1" x14ac:dyDescent="0.25">
      <c r="A819" s="14"/>
      <c r="B819" s="15"/>
    </row>
    <row r="820" spans="1:2" ht="15.75" customHeight="1" x14ac:dyDescent="0.25">
      <c r="A820" s="14"/>
      <c r="B820" s="15"/>
    </row>
    <row r="821" spans="1:2" ht="15.75" customHeight="1" x14ac:dyDescent="0.25">
      <c r="A821" s="14"/>
      <c r="B821" s="15"/>
    </row>
    <row r="822" spans="1:2" ht="15.75" customHeight="1" x14ac:dyDescent="0.25">
      <c r="A822" s="14"/>
      <c r="B822" s="15"/>
    </row>
    <row r="823" spans="1:2" ht="15.75" customHeight="1" x14ac:dyDescent="0.25">
      <c r="A823" s="14"/>
      <c r="B823" s="15"/>
    </row>
    <row r="824" spans="1:2" ht="15.75" customHeight="1" x14ac:dyDescent="0.25">
      <c r="A824" s="14"/>
      <c r="B824" s="15"/>
    </row>
    <row r="825" spans="1:2" ht="15.75" customHeight="1" x14ac:dyDescent="0.25">
      <c r="A825" s="14"/>
      <c r="B825" s="15"/>
    </row>
    <row r="826" spans="1:2" ht="15.75" customHeight="1" x14ac:dyDescent="0.25">
      <c r="A826" s="14"/>
      <c r="B826" s="15"/>
    </row>
    <row r="827" spans="1:2" ht="15.75" customHeight="1" x14ac:dyDescent="0.25">
      <c r="A827" s="14"/>
      <c r="B827" s="15"/>
    </row>
    <row r="828" spans="1:2" ht="15.75" customHeight="1" x14ac:dyDescent="0.25">
      <c r="A828" s="14"/>
      <c r="B828" s="15"/>
    </row>
    <row r="829" spans="1:2" ht="15.75" customHeight="1" x14ac:dyDescent="0.25">
      <c r="A829" s="14"/>
      <c r="B829" s="15"/>
    </row>
    <row r="830" spans="1:2" ht="15.75" customHeight="1" x14ac:dyDescent="0.25">
      <c r="A830" s="14"/>
      <c r="B830" s="15"/>
    </row>
    <row r="831" spans="1:2" ht="15.75" customHeight="1" x14ac:dyDescent="0.25">
      <c r="A831" s="14"/>
      <c r="B831" s="15"/>
    </row>
    <row r="832" spans="1:2" ht="15.75" customHeight="1" x14ac:dyDescent="0.25">
      <c r="A832" s="14"/>
      <c r="B832" s="15"/>
    </row>
    <row r="833" spans="1:2" ht="15.75" customHeight="1" x14ac:dyDescent="0.25">
      <c r="A833" s="14"/>
      <c r="B833" s="15"/>
    </row>
    <row r="834" spans="1:2" ht="15.75" customHeight="1" x14ac:dyDescent="0.25">
      <c r="A834" s="14"/>
      <c r="B834" s="15"/>
    </row>
    <row r="835" spans="1:2" ht="15.75" customHeight="1" x14ac:dyDescent="0.25">
      <c r="A835" s="14"/>
      <c r="B835" s="15"/>
    </row>
    <row r="836" spans="1:2" ht="15.75" customHeight="1" x14ac:dyDescent="0.25">
      <c r="A836" s="14"/>
      <c r="B836" s="15"/>
    </row>
    <row r="837" spans="1:2" ht="15.75" customHeight="1" x14ac:dyDescent="0.25">
      <c r="A837" s="14"/>
      <c r="B837" s="15"/>
    </row>
    <row r="838" spans="1:2" ht="15.75" customHeight="1" x14ac:dyDescent="0.25">
      <c r="A838" s="14"/>
      <c r="B838" s="15"/>
    </row>
    <row r="839" spans="1:2" ht="15.75" customHeight="1" x14ac:dyDescent="0.25">
      <c r="A839" s="14"/>
      <c r="B839" s="15"/>
    </row>
    <row r="840" spans="1:2" ht="15.75" customHeight="1" x14ac:dyDescent="0.25">
      <c r="A840" s="14"/>
      <c r="B840" s="15"/>
    </row>
    <row r="841" spans="1:2" ht="15.75" customHeight="1" x14ac:dyDescent="0.25">
      <c r="A841" s="14"/>
      <c r="B841" s="15"/>
    </row>
    <row r="842" spans="1:2" ht="15.75" customHeight="1" x14ac:dyDescent="0.25">
      <c r="A842" s="14"/>
      <c r="B842" s="15"/>
    </row>
    <row r="843" spans="1:2" ht="15.75" customHeight="1" x14ac:dyDescent="0.25">
      <c r="A843" s="14"/>
      <c r="B843" s="15"/>
    </row>
    <row r="844" spans="1:2" ht="15.75" customHeight="1" x14ac:dyDescent="0.25">
      <c r="A844" s="14"/>
      <c r="B844" s="15"/>
    </row>
    <row r="845" spans="1:2" ht="15.75" customHeight="1" x14ac:dyDescent="0.25">
      <c r="A845" s="14"/>
      <c r="B845" s="15"/>
    </row>
    <row r="846" spans="1:2" ht="15.75" customHeight="1" x14ac:dyDescent="0.25">
      <c r="A846" s="14"/>
      <c r="B846" s="15"/>
    </row>
    <row r="847" spans="1:2" ht="15.75" customHeight="1" x14ac:dyDescent="0.25">
      <c r="A847" s="14"/>
      <c r="B847" s="15"/>
    </row>
    <row r="848" spans="1:2" ht="15.75" customHeight="1" x14ac:dyDescent="0.25">
      <c r="A848" s="14"/>
      <c r="B848" s="15"/>
    </row>
    <row r="849" spans="1:2" ht="15.75" customHeight="1" x14ac:dyDescent="0.25">
      <c r="A849" s="14"/>
      <c r="B849" s="15"/>
    </row>
    <row r="850" spans="1:2" ht="15.75" customHeight="1" x14ac:dyDescent="0.25">
      <c r="A850" s="14"/>
      <c r="B850" s="15"/>
    </row>
    <row r="851" spans="1:2" ht="15.75" customHeight="1" x14ac:dyDescent="0.25">
      <c r="A851" s="14"/>
      <c r="B851" s="15"/>
    </row>
    <row r="852" spans="1:2" ht="15.75" customHeight="1" x14ac:dyDescent="0.25">
      <c r="A852" s="14"/>
      <c r="B852" s="15"/>
    </row>
    <row r="853" spans="1:2" ht="15.75" customHeight="1" x14ac:dyDescent="0.25">
      <c r="A853" s="14"/>
      <c r="B853" s="15"/>
    </row>
    <row r="854" spans="1:2" ht="15.75" customHeight="1" x14ac:dyDescent="0.25">
      <c r="A854" s="14"/>
      <c r="B854" s="15"/>
    </row>
    <row r="855" spans="1:2" ht="15.75" customHeight="1" x14ac:dyDescent="0.25">
      <c r="A855" s="14"/>
      <c r="B855" s="15"/>
    </row>
    <row r="856" spans="1:2" ht="15.75" customHeight="1" x14ac:dyDescent="0.25">
      <c r="A856" s="14"/>
      <c r="B856" s="15"/>
    </row>
    <row r="857" spans="1:2" ht="15.75" customHeight="1" x14ac:dyDescent="0.25">
      <c r="A857" s="14"/>
      <c r="B857" s="15"/>
    </row>
    <row r="858" spans="1:2" ht="15.75" customHeight="1" x14ac:dyDescent="0.25">
      <c r="A858" s="14"/>
      <c r="B858" s="15"/>
    </row>
    <row r="859" spans="1:2" ht="15.75" customHeight="1" x14ac:dyDescent="0.25">
      <c r="A859" s="14"/>
      <c r="B859" s="15"/>
    </row>
    <row r="860" spans="1:2" ht="15.75" customHeight="1" x14ac:dyDescent="0.25">
      <c r="A860" s="14"/>
      <c r="B860" s="15"/>
    </row>
    <row r="861" spans="1:2" ht="15.75" customHeight="1" x14ac:dyDescent="0.25">
      <c r="A861" s="14"/>
      <c r="B861" s="15"/>
    </row>
    <row r="862" spans="1:2" ht="15.75" customHeight="1" x14ac:dyDescent="0.25">
      <c r="A862" s="14"/>
      <c r="B862" s="15"/>
    </row>
    <row r="863" spans="1:2" ht="15.75" customHeight="1" x14ac:dyDescent="0.25">
      <c r="A863" s="14"/>
      <c r="B863" s="15"/>
    </row>
    <row r="864" spans="1:2" ht="15.75" customHeight="1" x14ac:dyDescent="0.25">
      <c r="A864" s="14"/>
      <c r="B864" s="15"/>
    </row>
    <row r="865" spans="1:2" ht="15.75" customHeight="1" x14ac:dyDescent="0.25">
      <c r="A865" s="14"/>
      <c r="B865" s="15"/>
    </row>
    <row r="866" spans="1:2" ht="15.75" customHeight="1" x14ac:dyDescent="0.25">
      <c r="A866" s="14"/>
      <c r="B866" s="15"/>
    </row>
    <row r="867" spans="1:2" ht="15.75" customHeight="1" x14ac:dyDescent="0.25">
      <c r="A867" s="14"/>
      <c r="B867" s="15"/>
    </row>
    <row r="868" spans="1:2" ht="15.75" customHeight="1" x14ac:dyDescent="0.25">
      <c r="A868" s="14"/>
      <c r="B868" s="15"/>
    </row>
    <row r="869" spans="1:2" ht="15.75" customHeight="1" x14ac:dyDescent="0.25">
      <c r="A869" s="14"/>
      <c r="B869" s="15"/>
    </row>
    <row r="870" spans="1:2" ht="15.75" customHeight="1" x14ac:dyDescent="0.25">
      <c r="A870" s="14"/>
      <c r="B870" s="15"/>
    </row>
    <row r="871" spans="1:2" ht="15.75" customHeight="1" x14ac:dyDescent="0.25">
      <c r="A871" s="14"/>
      <c r="B871" s="15"/>
    </row>
    <row r="872" spans="1:2" ht="15.75" customHeight="1" x14ac:dyDescent="0.25">
      <c r="A872" s="14"/>
      <c r="B872" s="15"/>
    </row>
    <row r="873" spans="1:2" ht="15.75" customHeight="1" x14ac:dyDescent="0.25">
      <c r="A873" s="14"/>
      <c r="B873" s="15"/>
    </row>
    <row r="874" spans="1:2" ht="15.75" customHeight="1" x14ac:dyDescent="0.25">
      <c r="A874" s="14"/>
      <c r="B874" s="15"/>
    </row>
    <row r="875" spans="1:2" ht="15.75" customHeight="1" x14ac:dyDescent="0.25">
      <c r="A875" s="14"/>
      <c r="B875" s="15"/>
    </row>
    <row r="876" spans="1:2" ht="15.75" customHeight="1" x14ac:dyDescent="0.25">
      <c r="A876" s="14"/>
      <c r="B876" s="15"/>
    </row>
    <row r="877" spans="1:2" ht="15.75" customHeight="1" x14ac:dyDescent="0.25">
      <c r="A877" s="14"/>
      <c r="B877" s="15"/>
    </row>
    <row r="878" spans="1:2" ht="15.75" customHeight="1" x14ac:dyDescent="0.25">
      <c r="A878" s="14"/>
      <c r="B878" s="15"/>
    </row>
    <row r="879" spans="1:2" ht="15.75" customHeight="1" x14ac:dyDescent="0.25">
      <c r="A879" s="14"/>
      <c r="B879" s="15"/>
    </row>
    <row r="880" spans="1:2" ht="15.75" customHeight="1" x14ac:dyDescent="0.25">
      <c r="A880" s="14"/>
      <c r="B880" s="15"/>
    </row>
    <row r="881" spans="1:2" ht="15.75" customHeight="1" x14ac:dyDescent="0.25">
      <c r="A881" s="14"/>
      <c r="B881" s="15"/>
    </row>
    <row r="882" spans="1:2" ht="15.75" customHeight="1" x14ac:dyDescent="0.25">
      <c r="A882" s="14"/>
      <c r="B882" s="15"/>
    </row>
    <row r="883" spans="1:2" ht="15.75" customHeight="1" x14ac:dyDescent="0.25">
      <c r="A883" s="14"/>
      <c r="B883" s="15"/>
    </row>
    <row r="884" spans="1:2" ht="15.75" customHeight="1" x14ac:dyDescent="0.25">
      <c r="A884" s="14"/>
      <c r="B884" s="15"/>
    </row>
    <row r="885" spans="1:2" ht="15.75" customHeight="1" x14ac:dyDescent="0.25">
      <c r="A885" s="14"/>
      <c r="B885" s="15"/>
    </row>
    <row r="886" spans="1:2" ht="15.75" customHeight="1" x14ac:dyDescent="0.25">
      <c r="A886" s="14"/>
      <c r="B886" s="15"/>
    </row>
    <row r="887" spans="1:2" ht="15.75" customHeight="1" x14ac:dyDescent="0.25">
      <c r="A887" s="14"/>
      <c r="B887" s="15"/>
    </row>
    <row r="888" spans="1:2" ht="15.75" customHeight="1" x14ac:dyDescent="0.25">
      <c r="A888" s="14"/>
      <c r="B888" s="15"/>
    </row>
    <row r="889" spans="1:2" ht="15.75" customHeight="1" x14ac:dyDescent="0.25">
      <c r="A889" s="14"/>
      <c r="B889" s="15"/>
    </row>
    <row r="890" spans="1:2" ht="15.75" customHeight="1" x14ac:dyDescent="0.25">
      <c r="A890" s="14"/>
      <c r="B890" s="15"/>
    </row>
    <row r="891" spans="1:2" ht="15.75" customHeight="1" x14ac:dyDescent="0.25">
      <c r="A891" s="14"/>
      <c r="B891" s="15"/>
    </row>
    <row r="892" spans="1:2" ht="15.75" customHeight="1" x14ac:dyDescent="0.25">
      <c r="A892" s="14"/>
      <c r="B892" s="15"/>
    </row>
    <row r="893" spans="1:2" ht="15.75" customHeight="1" x14ac:dyDescent="0.25">
      <c r="A893" s="14"/>
      <c r="B893" s="15"/>
    </row>
    <row r="894" spans="1:2" ht="15.75" customHeight="1" x14ac:dyDescent="0.25">
      <c r="A894" s="14"/>
      <c r="B894" s="15"/>
    </row>
    <row r="895" spans="1:2" ht="15.75" customHeight="1" x14ac:dyDescent="0.25">
      <c r="A895" s="14"/>
      <c r="B895" s="15"/>
    </row>
    <row r="896" spans="1:2" ht="15.75" customHeight="1" x14ac:dyDescent="0.25">
      <c r="A896" s="14"/>
      <c r="B896" s="15"/>
    </row>
    <row r="897" spans="1:2" ht="15.75" customHeight="1" x14ac:dyDescent="0.25">
      <c r="A897" s="14"/>
      <c r="B897" s="15"/>
    </row>
    <row r="898" spans="1:2" ht="15.75" customHeight="1" x14ac:dyDescent="0.25">
      <c r="A898" s="14"/>
      <c r="B898" s="15"/>
    </row>
    <row r="899" spans="1:2" ht="15.75" customHeight="1" x14ac:dyDescent="0.25">
      <c r="A899" s="14"/>
      <c r="B899" s="15"/>
    </row>
    <row r="900" spans="1:2" ht="15.75" customHeight="1" x14ac:dyDescent="0.25">
      <c r="A900" s="14"/>
      <c r="B900" s="15"/>
    </row>
    <row r="901" spans="1:2" ht="15.75" customHeight="1" x14ac:dyDescent="0.25">
      <c r="A901" s="14"/>
      <c r="B901" s="15"/>
    </row>
    <row r="902" spans="1:2" ht="15.75" customHeight="1" x14ac:dyDescent="0.25">
      <c r="A902" s="14"/>
      <c r="B902" s="15"/>
    </row>
    <row r="903" spans="1:2" ht="15.75" customHeight="1" x14ac:dyDescent="0.25">
      <c r="A903" s="14"/>
      <c r="B903" s="15"/>
    </row>
    <row r="904" spans="1:2" ht="15.75" customHeight="1" x14ac:dyDescent="0.25">
      <c r="A904" s="14"/>
      <c r="B904" s="15"/>
    </row>
    <row r="905" spans="1:2" ht="15.75" customHeight="1" x14ac:dyDescent="0.25">
      <c r="A905" s="14"/>
      <c r="B905" s="15"/>
    </row>
    <row r="906" spans="1:2" ht="15.75" customHeight="1" x14ac:dyDescent="0.25">
      <c r="A906" s="14"/>
      <c r="B906" s="15"/>
    </row>
    <row r="907" spans="1:2" ht="15.75" customHeight="1" x14ac:dyDescent="0.25">
      <c r="A907" s="14"/>
      <c r="B907" s="15"/>
    </row>
    <row r="908" spans="1:2" ht="15.75" customHeight="1" x14ac:dyDescent="0.25">
      <c r="A908" s="14"/>
      <c r="B908" s="15"/>
    </row>
    <row r="909" spans="1:2" ht="15.75" customHeight="1" x14ac:dyDescent="0.25">
      <c r="A909" s="14"/>
      <c r="B909" s="15"/>
    </row>
    <row r="910" spans="1:2" ht="15.75" customHeight="1" x14ac:dyDescent="0.25">
      <c r="A910" s="14"/>
      <c r="B910" s="15"/>
    </row>
    <row r="911" spans="1:2" ht="15.75" customHeight="1" x14ac:dyDescent="0.25">
      <c r="A911" s="14"/>
      <c r="B911" s="15"/>
    </row>
    <row r="912" spans="1:2" ht="15.75" customHeight="1" x14ac:dyDescent="0.25">
      <c r="A912" s="14"/>
      <c r="B912" s="15"/>
    </row>
    <row r="913" spans="1:2" ht="15.75" customHeight="1" x14ac:dyDescent="0.25">
      <c r="A913" s="14"/>
      <c r="B913" s="15"/>
    </row>
    <row r="914" spans="1:2" ht="15.75" customHeight="1" x14ac:dyDescent="0.25">
      <c r="A914" s="14"/>
      <c r="B914" s="15"/>
    </row>
    <row r="915" spans="1:2" ht="15.75" customHeight="1" x14ac:dyDescent="0.25">
      <c r="A915" s="14"/>
      <c r="B915" s="15"/>
    </row>
    <row r="916" spans="1:2" ht="15.75" customHeight="1" x14ac:dyDescent="0.25">
      <c r="A916" s="14"/>
      <c r="B916" s="15"/>
    </row>
    <row r="917" spans="1:2" ht="15.75" customHeight="1" x14ac:dyDescent="0.25">
      <c r="A917" s="14"/>
      <c r="B917" s="15"/>
    </row>
    <row r="918" spans="1:2" ht="15.75" customHeight="1" x14ac:dyDescent="0.25">
      <c r="A918" s="14"/>
      <c r="B918" s="15"/>
    </row>
    <row r="919" spans="1:2" ht="15.75" customHeight="1" x14ac:dyDescent="0.25">
      <c r="A919" s="14"/>
      <c r="B919" s="15"/>
    </row>
    <row r="920" spans="1:2" ht="15.75" customHeight="1" x14ac:dyDescent="0.25">
      <c r="A920" s="14"/>
      <c r="B920" s="15"/>
    </row>
    <row r="921" spans="1:2" ht="15.75" customHeight="1" x14ac:dyDescent="0.25">
      <c r="A921" s="14"/>
      <c r="B921" s="15"/>
    </row>
    <row r="922" spans="1:2" ht="15.75" customHeight="1" x14ac:dyDescent="0.25">
      <c r="A922" s="14"/>
      <c r="B922" s="15"/>
    </row>
    <row r="923" spans="1:2" ht="15.75" customHeight="1" x14ac:dyDescent="0.25">
      <c r="A923" s="14"/>
      <c r="B923" s="15"/>
    </row>
    <row r="924" spans="1:2" ht="15.75" customHeight="1" x14ac:dyDescent="0.25">
      <c r="A924" s="14"/>
      <c r="B924" s="15"/>
    </row>
    <row r="925" spans="1:2" ht="15.75" customHeight="1" x14ac:dyDescent="0.25">
      <c r="A925" s="14"/>
      <c r="B925" s="15"/>
    </row>
    <row r="926" spans="1:2" ht="15.75" customHeight="1" x14ac:dyDescent="0.25">
      <c r="A926" s="14"/>
      <c r="B926" s="15"/>
    </row>
    <row r="927" spans="1:2" ht="15.75" customHeight="1" x14ac:dyDescent="0.25">
      <c r="A927" s="14"/>
      <c r="B927" s="15"/>
    </row>
    <row r="928" spans="1:2" ht="15.75" customHeight="1" x14ac:dyDescent="0.25">
      <c r="A928" s="14"/>
      <c r="B928" s="15"/>
    </row>
    <row r="929" spans="1:2" ht="15.75" customHeight="1" x14ac:dyDescent="0.25">
      <c r="A929" s="14"/>
      <c r="B929" s="15"/>
    </row>
    <row r="930" spans="1:2" ht="15.75" customHeight="1" x14ac:dyDescent="0.25">
      <c r="A930" s="14"/>
      <c r="B930" s="15"/>
    </row>
    <row r="931" spans="1:2" ht="15.75" customHeight="1" x14ac:dyDescent="0.25">
      <c r="A931" s="14"/>
      <c r="B931" s="15"/>
    </row>
    <row r="932" spans="1:2" ht="15.75" customHeight="1" x14ac:dyDescent="0.25">
      <c r="A932" s="14"/>
      <c r="B932" s="15"/>
    </row>
    <row r="933" spans="1:2" ht="15.75" customHeight="1" x14ac:dyDescent="0.25">
      <c r="A933" s="14"/>
      <c r="B933" s="15"/>
    </row>
    <row r="934" spans="1:2" ht="15.75" customHeight="1" x14ac:dyDescent="0.25">
      <c r="A934" s="14"/>
      <c r="B934" s="15"/>
    </row>
    <row r="935" spans="1:2" ht="15.75" customHeight="1" x14ac:dyDescent="0.25">
      <c r="A935" s="14"/>
      <c r="B935" s="15"/>
    </row>
    <row r="936" spans="1:2" ht="15.75" customHeight="1" x14ac:dyDescent="0.25">
      <c r="A936" s="14"/>
      <c r="B936" s="15"/>
    </row>
    <row r="937" spans="1:2" ht="15.75" customHeight="1" x14ac:dyDescent="0.25">
      <c r="A937" s="14"/>
      <c r="B937" s="15"/>
    </row>
    <row r="938" spans="1:2" ht="15.75" customHeight="1" x14ac:dyDescent="0.25">
      <c r="A938" s="14"/>
      <c r="B938" s="15"/>
    </row>
    <row r="939" spans="1:2" ht="15.75" customHeight="1" x14ac:dyDescent="0.25">
      <c r="A939" s="14"/>
      <c r="B939" s="15"/>
    </row>
    <row r="940" spans="1:2" ht="15.75" customHeight="1" x14ac:dyDescent="0.25">
      <c r="A940" s="14"/>
      <c r="B940" s="15"/>
    </row>
    <row r="941" spans="1:2" ht="15.75" customHeight="1" x14ac:dyDescent="0.25">
      <c r="A941" s="14"/>
      <c r="B941" s="15"/>
    </row>
    <row r="942" spans="1:2" ht="15.75" customHeight="1" x14ac:dyDescent="0.25">
      <c r="A942" s="14"/>
      <c r="B942" s="15"/>
    </row>
    <row r="943" spans="1:2" ht="15.75" customHeight="1" x14ac:dyDescent="0.25">
      <c r="A943" s="14"/>
      <c r="B943" s="15"/>
    </row>
    <row r="944" spans="1:2" ht="15.75" customHeight="1" x14ac:dyDescent="0.25">
      <c r="A944" s="14"/>
      <c r="B944" s="15"/>
    </row>
    <row r="945" spans="1:2" ht="15.75" customHeight="1" x14ac:dyDescent="0.25">
      <c r="A945" s="14"/>
      <c r="B945" s="15"/>
    </row>
    <row r="946" spans="1:2" ht="15.75" customHeight="1" x14ac:dyDescent="0.25">
      <c r="A946" s="14"/>
      <c r="B946" s="15"/>
    </row>
    <row r="947" spans="1:2" ht="15.75" customHeight="1" x14ac:dyDescent="0.25">
      <c r="A947" s="14"/>
      <c r="B947" s="15"/>
    </row>
    <row r="948" spans="1:2" ht="15.75" customHeight="1" x14ac:dyDescent="0.25">
      <c r="A948" s="14"/>
      <c r="B948" s="15"/>
    </row>
    <row r="949" spans="1:2" ht="15.75" customHeight="1" x14ac:dyDescent="0.25">
      <c r="A949" s="14"/>
      <c r="B949" s="15"/>
    </row>
    <row r="950" spans="1:2" ht="15.75" customHeight="1" x14ac:dyDescent="0.25">
      <c r="A950" s="14"/>
      <c r="B950" s="15"/>
    </row>
    <row r="951" spans="1:2" ht="15.75" customHeight="1" x14ac:dyDescent="0.25">
      <c r="A951" s="14"/>
      <c r="B951" s="15"/>
    </row>
    <row r="952" spans="1:2" ht="15.75" customHeight="1" x14ac:dyDescent="0.25">
      <c r="A952" s="14"/>
      <c r="B952" s="15"/>
    </row>
    <row r="953" spans="1:2" ht="15.75" customHeight="1" x14ac:dyDescent="0.25">
      <c r="A953" s="14"/>
      <c r="B953" s="15"/>
    </row>
    <row r="954" spans="1:2" ht="15.75" customHeight="1" x14ac:dyDescent="0.25">
      <c r="A954" s="14"/>
      <c r="B954" s="15"/>
    </row>
    <row r="955" spans="1:2" ht="15.75" customHeight="1" x14ac:dyDescent="0.25">
      <c r="A955" s="14"/>
      <c r="B955" s="15"/>
    </row>
    <row r="956" spans="1:2" ht="15.75" customHeight="1" x14ac:dyDescent="0.25">
      <c r="A956" s="14"/>
      <c r="B956" s="15"/>
    </row>
    <row r="957" spans="1:2" ht="15.75" customHeight="1" x14ac:dyDescent="0.25">
      <c r="A957" s="14"/>
      <c r="B957" s="15"/>
    </row>
    <row r="958" spans="1:2" ht="15.75" customHeight="1" x14ac:dyDescent="0.25">
      <c r="A958" s="14"/>
      <c r="B958" s="15"/>
    </row>
    <row r="959" spans="1:2" ht="15.75" customHeight="1" x14ac:dyDescent="0.25">
      <c r="A959" s="14"/>
      <c r="B959" s="15"/>
    </row>
    <row r="960" spans="1:2" ht="15.75" customHeight="1" x14ac:dyDescent="0.25">
      <c r="A960" s="14"/>
      <c r="B960" s="15"/>
    </row>
    <row r="961" spans="1:2" ht="15.75" customHeight="1" x14ac:dyDescent="0.25">
      <c r="A961" s="14"/>
      <c r="B961" s="15"/>
    </row>
    <row r="962" spans="1:2" ht="15.75" customHeight="1" x14ac:dyDescent="0.25">
      <c r="A962" s="14"/>
      <c r="B962" s="15"/>
    </row>
    <row r="963" spans="1:2" ht="15.75" customHeight="1" x14ac:dyDescent="0.25">
      <c r="A963" s="14"/>
      <c r="B963" s="15"/>
    </row>
    <row r="964" spans="1:2" ht="15.75" customHeight="1" x14ac:dyDescent="0.25">
      <c r="A964" s="14"/>
      <c r="B964" s="15"/>
    </row>
    <row r="965" spans="1:2" ht="15.75" customHeight="1" x14ac:dyDescent="0.25">
      <c r="A965" s="14"/>
      <c r="B965" s="15"/>
    </row>
    <row r="966" spans="1:2" ht="15.75" customHeight="1" x14ac:dyDescent="0.25">
      <c r="A966" s="14"/>
      <c r="B966" s="15"/>
    </row>
    <row r="967" spans="1:2" ht="15.75" customHeight="1" x14ac:dyDescent="0.25">
      <c r="A967" s="14"/>
      <c r="B967" s="15"/>
    </row>
    <row r="968" spans="1:2" ht="15.75" customHeight="1" x14ac:dyDescent="0.25">
      <c r="A968" s="14"/>
      <c r="B968" s="15"/>
    </row>
    <row r="969" spans="1:2" ht="15.75" customHeight="1" x14ac:dyDescent="0.25">
      <c r="A969" s="14"/>
      <c r="B969" s="15"/>
    </row>
    <row r="970" spans="1:2" ht="15.75" customHeight="1" x14ac:dyDescent="0.25">
      <c r="A970" s="14"/>
      <c r="B970" s="15"/>
    </row>
    <row r="971" spans="1:2" ht="15.75" customHeight="1" x14ac:dyDescent="0.25">
      <c r="A971" s="14"/>
      <c r="B971" s="15"/>
    </row>
    <row r="972" spans="1:2" ht="15.75" customHeight="1" x14ac:dyDescent="0.25">
      <c r="A972" s="14"/>
      <c r="B972" s="15"/>
    </row>
    <row r="973" spans="1:2" ht="15.75" customHeight="1" x14ac:dyDescent="0.25">
      <c r="A973" s="14"/>
      <c r="B973" s="15"/>
    </row>
    <row r="974" spans="1:2" ht="15.75" customHeight="1" x14ac:dyDescent="0.25">
      <c r="A974" s="14"/>
      <c r="B974" s="15"/>
    </row>
    <row r="975" spans="1:2" ht="15.75" customHeight="1" x14ac:dyDescent="0.25">
      <c r="A975" s="14"/>
      <c r="B975" s="15"/>
    </row>
    <row r="976" spans="1:2" ht="15.75" customHeight="1" x14ac:dyDescent="0.25">
      <c r="A976" s="14"/>
      <c r="B976" s="15"/>
    </row>
    <row r="977" spans="1:2" ht="15.75" customHeight="1" x14ac:dyDescent="0.25">
      <c r="A977" s="14"/>
      <c r="B977" s="15"/>
    </row>
    <row r="978" spans="1:2" ht="15.75" customHeight="1" x14ac:dyDescent="0.25">
      <c r="A978" s="14"/>
      <c r="B978" s="15"/>
    </row>
    <row r="979" spans="1:2" ht="15.75" customHeight="1" x14ac:dyDescent="0.25">
      <c r="A979" s="14"/>
      <c r="B979" s="15"/>
    </row>
    <row r="980" spans="1:2" ht="15.75" customHeight="1" x14ac:dyDescent="0.25">
      <c r="A980" s="14"/>
      <c r="B980" s="15"/>
    </row>
    <row r="981" spans="1:2" ht="15.75" customHeight="1" x14ac:dyDescent="0.25">
      <c r="A981" s="14"/>
      <c r="B981" s="15"/>
    </row>
    <row r="982" spans="1:2" ht="15.75" customHeight="1" x14ac:dyDescent="0.25">
      <c r="A982" s="14"/>
      <c r="B982" s="15"/>
    </row>
    <row r="983" spans="1:2" ht="15.75" customHeight="1" x14ac:dyDescent="0.25">
      <c r="A983" s="14"/>
      <c r="B983" s="15"/>
    </row>
    <row r="984" spans="1:2" ht="15.75" customHeight="1" x14ac:dyDescent="0.25">
      <c r="A984" s="14"/>
      <c r="B984" s="15"/>
    </row>
    <row r="985" spans="1:2" ht="15.75" customHeight="1" x14ac:dyDescent="0.25">
      <c r="A985" s="14"/>
      <c r="B985" s="15"/>
    </row>
    <row r="986" spans="1:2" ht="15.75" customHeight="1" x14ac:dyDescent="0.25">
      <c r="A986" s="14"/>
      <c r="B986" s="15"/>
    </row>
    <row r="987" spans="1:2" ht="15.75" customHeight="1" x14ac:dyDescent="0.25">
      <c r="A987" s="14"/>
      <c r="B987" s="15"/>
    </row>
    <row r="988" spans="1:2" ht="15.75" customHeight="1" x14ac:dyDescent="0.25">
      <c r="A988" s="14"/>
      <c r="B988" s="15"/>
    </row>
    <row r="989" spans="1:2" ht="15.75" customHeight="1" x14ac:dyDescent="0.25">
      <c r="A989" s="14"/>
      <c r="B989" s="15"/>
    </row>
    <row r="990" spans="1:2" ht="15.75" customHeight="1" x14ac:dyDescent="0.25">
      <c r="A990" s="14"/>
      <c r="B990" s="15"/>
    </row>
    <row r="991" spans="1:2" ht="15.75" customHeight="1" x14ac:dyDescent="0.25">
      <c r="A991" s="14"/>
      <c r="B991" s="15"/>
    </row>
    <row r="992" spans="1:2" ht="15.75" customHeight="1" x14ac:dyDescent="0.25">
      <c r="A992" s="14"/>
      <c r="B992" s="15"/>
    </row>
    <row r="993" spans="1:2" ht="15.75" customHeight="1" x14ac:dyDescent="0.25">
      <c r="A993" s="14"/>
      <c r="B993" s="15"/>
    </row>
    <row r="994" spans="1:2" ht="15.75" customHeight="1" x14ac:dyDescent="0.25">
      <c r="A994" s="14"/>
      <c r="B994" s="15"/>
    </row>
    <row r="995" spans="1:2" ht="15.75" customHeight="1" x14ac:dyDescent="0.25">
      <c r="A995" s="14"/>
      <c r="B995" s="15"/>
    </row>
    <row r="996" spans="1:2" ht="15.75" customHeight="1" x14ac:dyDescent="0.25">
      <c r="A996" s="14"/>
      <c r="B996" s="15"/>
    </row>
    <row r="997" spans="1:2" ht="15.75" customHeight="1" x14ac:dyDescent="0.25">
      <c r="A997" s="14"/>
      <c r="B997" s="15"/>
    </row>
    <row r="998" spans="1:2" ht="15.75" customHeight="1" x14ac:dyDescent="0.25">
      <c r="A998" s="14"/>
      <c r="B998" s="15"/>
    </row>
    <row r="999" spans="1:2" ht="15.75" customHeight="1" x14ac:dyDescent="0.25">
      <c r="A999" s="14"/>
      <c r="B999" s="15"/>
    </row>
    <row r="1000" spans="1:2" ht="15.75" customHeight="1" x14ac:dyDescent="0.25">
      <c r="A1000" s="14"/>
      <c r="B1000" s="15"/>
    </row>
  </sheetData>
  <autoFilter ref="A1:K121"/>
  <mergeCells count="121">
    <mergeCell ref="D1:K1"/>
    <mergeCell ref="G2:J2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99:J99"/>
    <mergeCell ref="G100:J100"/>
    <mergeCell ref="G101:J101"/>
    <mergeCell ref="G102:J102"/>
    <mergeCell ref="G103:J103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20:J120"/>
    <mergeCell ref="G121:J121"/>
    <mergeCell ref="G113:J113"/>
    <mergeCell ref="G114:J114"/>
    <mergeCell ref="G115:J115"/>
    <mergeCell ref="G116:J116"/>
    <mergeCell ref="G117:J117"/>
    <mergeCell ref="G118:J118"/>
    <mergeCell ref="G119:J119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92:J92"/>
    <mergeCell ref="G93:J93"/>
    <mergeCell ref="G94:J94"/>
    <mergeCell ref="G95:J95"/>
    <mergeCell ref="G96:J96"/>
    <mergeCell ref="G97:J97"/>
    <mergeCell ref="G98:J98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E12" sqref="E12"/>
    </sheetView>
  </sheetViews>
  <sheetFormatPr defaultColWidth="14.42578125" defaultRowHeight="15" customHeight="1" x14ac:dyDescent="0.25"/>
  <cols>
    <col min="1" max="1" width="4" customWidth="1"/>
    <col min="2" max="2" width="57.7109375" customWidth="1"/>
    <col min="3" max="3" width="23.140625" customWidth="1"/>
    <col min="4" max="4" width="12.42578125" customWidth="1"/>
    <col min="5" max="26" width="8.7109375" customWidth="1"/>
  </cols>
  <sheetData>
    <row r="1" spans="1:4" x14ac:dyDescent="0.25">
      <c r="A1" s="25" t="s">
        <v>0</v>
      </c>
      <c r="B1" s="26" t="s">
        <v>6</v>
      </c>
      <c r="C1" s="27" t="s">
        <v>4</v>
      </c>
      <c r="D1" s="28" t="s">
        <v>5</v>
      </c>
    </row>
    <row r="2" spans="1:4" x14ac:dyDescent="0.25">
      <c r="A2" s="6">
        <v>1</v>
      </c>
      <c r="B2" s="5" t="s">
        <v>82</v>
      </c>
      <c r="C2" s="6" t="s">
        <v>7</v>
      </c>
      <c r="D2" s="5" t="s">
        <v>148</v>
      </c>
    </row>
    <row r="3" spans="1:4" x14ac:dyDescent="0.25">
      <c r="A3" s="6">
        <v>2</v>
      </c>
      <c r="B3" s="29" t="s">
        <v>149</v>
      </c>
      <c r="C3" s="6" t="s">
        <v>7</v>
      </c>
      <c r="D3" s="5" t="s">
        <v>148</v>
      </c>
    </row>
    <row r="4" spans="1:4" x14ac:dyDescent="0.25">
      <c r="A4" s="6">
        <v>3</v>
      </c>
      <c r="B4" s="29" t="s">
        <v>150</v>
      </c>
      <c r="C4" s="6" t="s">
        <v>7</v>
      </c>
      <c r="D4" s="5" t="s">
        <v>148</v>
      </c>
    </row>
    <row r="5" spans="1:4" x14ac:dyDescent="0.25">
      <c r="A5" s="6">
        <v>4</v>
      </c>
      <c r="B5" s="29" t="s">
        <v>151</v>
      </c>
      <c r="C5" s="6" t="s">
        <v>7</v>
      </c>
      <c r="D5" s="5" t="s">
        <v>152</v>
      </c>
    </row>
    <row r="6" spans="1:4" x14ac:dyDescent="0.25">
      <c r="A6" s="6">
        <v>5</v>
      </c>
      <c r="B6" s="29" t="s">
        <v>153</v>
      </c>
      <c r="C6" s="6" t="s">
        <v>7</v>
      </c>
      <c r="D6" s="5" t="s">
        <v>152</v>
      </c>
    </row>
    <row r="7" spans="1:4" x14ac:dyDescent="0.25">
      <c r="A7" s="6">
        <v>6</v>
      </c>
      <c r="B7" s="29" t="s">
        <v>154</v>
      </c>
      <c r="C7" s="6" t="s">
        <v>7</v>
      </c>
      <c r="D7" s="5" t="s">
        <v>152</v>
      </c>
    </row>
    <row r="8" spans="1:4" x14ac:dyDescent="0.25">
      <c r="A8" s="6">
        <v>7</v>
      </c>
      <c r="B8" s="29" t="s">
        <v>155</v>
      </c>
      <c r="C8" s="6" t="s">
        <v>7</v>
      </c>
      <c r="D8" s="5" t="s">
        <v>156</v>
      </c>
    </row>
    <row r="9" spans="1:4" x14ac:dyDescent="0.25">
      <c r="A9" s="6">
        <v>8</v>
      </c>
      <c r="B9" s="5" t="s">
        <v>157</v>
      </c>
      <c r="C9" s="6" t="s">
        <v>7</v>
      </c>
      <c r="D9" s="5" t="s">
        <v>156</v>
      </c>
    </row>
    <row r="10" spans="1:4" x14ac:dyDescent="0.25">
      <c r="A10" s="6">
        <v>9</v>
      </c>
      <c r="B10" s="5" t="s">
        <v>158</v>
      </c>
      <c r="C10" s="6" t="s">
        <v>7</v>
      </c>
      <c r="D10" s="5" t="s">
        <v>156</v>
      </c>
    </row>
    <row r="11" spans="1:4" x14ac:dyDescent="0.25">
      <c r="A11" s="6">
        <v>10</v>
      </c>
      <c r="B11" s="29" t="s">
        <v>159</v>
      </c>
      <c r="C11" s="6" t="s">
        <v>7</v>
      </c>
      <c r="D11" s="5" t="s">
        <v>160</v>
      </c>
    </row>
    <row r="12" spans="1:4" x14ac:dyDescent="0.25">
      <c r="A12" s="6">
        <v>11</v>
      </c>
      <c r="B12" s="29" t="s">
        <v>161</v>
      </c>
      <c r="C12" s="6" t="s">
        <v>7</v>
      </c>
      <c r="D12" s="5" t="s">
        <v>160</v>
      </c>
    </row>
    <row r="13" spans="1:4" x14ac:dyDescent="0.25">
      <c r="A13" s="6">
        <v>12</v>
      </c>
      <c r="B13" s="29" t="s">
        <v>162</v>
      </c>
      <c r="C13" s="6" t="s">
        <v>7</v>
      </c>
      <c r="D13" s="5" t="s">
        <v>160</v>
      </c>
    </row>
    <row r="14" spans="1:4" x14ac:dyDescent="0.25">
      <c r="A14" s="6">
        <v>13</v>
      </c>
      <c r="B14" s="29" t="s">
        <v>163</v>
      </c>
      <c r="C14" s="6" t="s">
        <v>7</v>
      </c>
      <c r="D14" s="5" t="s">
        <v>164</v>
      </c>
    </row>
    <row r="15" spans="1:4" x14ac:dyDescent="0.25">
      <c r="A15" s="6">
        <v>14</v>
      </c>
      <c r="B15" s="29" t="s">
        <v>165</v>
      </c>
      <c r="C15" s="6" t="s">
        <v>7</v>
      </c>
      <c r="D15" s="5" t="s">
        <v>164</v>
      </c>
    </row>
    <row r="16" spans="1:4" x14ac:dyDescent="0.25">
      <c r="A16" s="6">
        <v>15</v>
      </c>
      <c r="B16" s="5" t="s">
        <v>166</v>
      </c>
      <c r="C16" s="6" t="s">
        <v>7</v>
      </c>
      <c r="D16" s="5" t="s">
        <v>164</v>
      </c>
    </row>
    <row r="17" spans="1:4" x14ac:dyDescent="0.25">
      <c r="A17" s="6">
        <v>16</v>
      </c>
      <c r="B17" s="5" t="s">
        <v>167</v>
      </c>
      <c r="C17" s="6" t="s">
        <v>7</v>
      </c>
      <c r="D17" s="5" t="s">
        <v>168</v>
      </c>
    </row>
    <row r="18" spans="1:4" x14ac:dyDescent="0.25">
      <c r="A18" s="6">
        <v>17</v>
      </c>
      <c r="B18" s="29" t="s">
        <v>169</v>
      </c>
      <c r="C18" s="6" t="s">
        <v>7</v>
      </c>
      <c r="D18" s="5" t="s">
        <v>168</v>
      </c>
    </row>
    <row r="19" spans="1:4" x14ac:dyDescent="0.25">
      <c r="A19" s="6">
        <v>18</v>
      </c>
      <c r="B19" s="29" t="s">
        <v>170</v>
      </c>
      <c r="C19" s="6" t="s">
        <v>7</v>
      </c>
      <c r="D19" s="5" t="s">
        <v>168</v>
      </c>
    </row>
    <row r="20" spans="1:4" x14ac:dyDescent="0.25">
      <c r="A20" s="6">
        <v>19</v>
      </c>
      <c r="B20" s="4" t="s">
        <v>171</v>
      </c>
      <c r="C20" s="6" t="s">
        <v>7</v>
      </c>
      <c r="D20" s="5" t="s">
        <v>172</v>
      </c>
    </row>
    <row r="21" spans="1:4" ht="15.75" customHeight="1" x14ac:dyDescent="0.25">
      <c r="A21" s="6">
        <v>20</v>
      </c>
      <c r="B21" s="5" t="s">
        <v>173</v>
      </c>
      <c r="C21" s="6" t="s">
        <v>7</v>
      </c>
      <c r="D21" s="5" t="s">
        <v>172</v>
      </c>
    </row>
    <row r="22" spans="1:4" ht="15.75" customHeight="1" x14ac:dyDescent="0.25">
      <c r="A22" s="6">
        <v>21</v>
      </c>
      <c r="B22" s="5" t="s">
        <v>174</v>
      </c>
      <c r="C22" s="6" t="s">
        <v>7</v>
      </c>
      <c r="D22" s="5" t="s">
        <v>172</v>
      </c>
    </row>
    <row r="23" spans="1:4" ht="15.75" customHeight="1" x14ac:dyDescent="0.25">
      <c r="A23" s="6">
        <v>22</v>
      </c>
      <c r="B23" s="29" t="s">
        <v>175</v>
      </c>
      <c r="C23" s="6" t="s">
        <v>7</v>
      </c>
      <c r="D23" s="5" t="s">
        <v>176</v>
      </c>
    </row>
    <row r="24" spans="1:4" ht="15.75" customHeight="1" x14ac:dyDescent="0.25">
      <c r="A24" s="6">
        <v>23</v>
      </c>
      <c r="B24" s="29" t="s">
        <v>177</v>
      </c>
      <c r="C24" s="6" t="s">
        <v>7</v>
      </c>
      <c r="D24" s="5" t="s">
        <v>177</v>
      </c>
    </row>
    <row r="25" spans="1:4" ht="15.75" customHeight="1" x14ac:dyDescent="0.25">
      <c r="A25" s="6">
        <v>24</v>
      </c>
      <c r="B25" s="29" t="s">
        <v>178</v>
      </c>
      <c r="C25" s="6" t="s">
        <v>7</v>
      </c>
      <c r="D25" s="5" t="s">
        <v>179</v>
      </c>
    </row>
    <row r="26" spans="1:4" ht="15.75" customHeight="1" x14ac:dyDescent="0.25">
      <c r="A26" s="6">
        <v>25</v>
      </c>
      <c r="B26" s="29" t="s">
        <v>180</v>
      </c>
      <c r="C26" s="6" t="s">
        <v>7</v>
      </c>
      <c r="D26" s="5" t="s">
        <v>180</v>
      </c>
    </row>
    <row r="27" spans="1:4" ht="15.75" customHeight="1" x14ac:dyDescent="0.25">
      <c r="A27" s="6">
        <v>26</v>
      </c>
      <c r="B27" s="29" t="s">
        <v>181</v>
      </c>
      <c r="C27" s="6" t="s">
        <v>7</v>
      </c>
      <c r="D27" s="5" t="s">
        <v>182</v>
      </c>
    </row>
    <row r="28" spans="1:4" ht="15.75" customHeight="1" x14ac:dyDescent="0.25">
      <c r="A28" s="6">
        <v>27</v>
      </c>
      <c r="B28" s="5" t="s">
        <v>183</v>
      </c>
      <c r="C28" s="6" t="s">
        <v>7</v>
      </c>
      <c r="D28" s="5" t="s">
        <v>182</v>
      </c>
    </row>
    <row r="29" spans="1:4" ht="15.75" customHeight="1" x14ac:dyDescent="0.25">
      <c r="A29" s="6">
        <v>28</v>
      </c>
      <c r="B29" s="5" t="s">
        <v>184</v>
      </c>
      <c r="C29" s="6" t="s">
        <v>7</v>
      </c>
      <c r="D29" s="5" t="s">
        <v>185</v>
      </c>
    </row>
    <row r="30" spans="1:4" ht="15.75" customHeight="1" x14ac:dyDescent="0.25">
      <c r="A30" s="6">
        <v>29</v>
      </c>
      <c r="B30" s="5" t="s">
        <v>186</v>
      </c>
      <c r="C30" s="6" t="s">
        <v>7</v>
      </c>
      <c r="D30" s="5" t="s">
        <v>185</v>
      </c>
    </row>
    <row r="31" spans="1:4" ht="15.75" customHeight="1" x14ac:dyDescent="0.25">
      <c r="A31" s="13">
        <v>30</v>
      </c>
      <c r="B31" s="30" t="s">
        <v>187</v>
      </c>
      <c r="C31" s="13" t="s">
        <v>13</v>
      </c>
      <c r="D31" s="12" t="s">
        <v>188</v>
      </c>
    </row>
    <row r="32" spans="1:4" ht="15.75" customHeight="1" x14ac:dyDescent="0.25">
      <c r="A32" s="13">
        <v>31</v>
      </c>
      <c r="B32" s="30" t="s">
        <v>189</v>
      </c>
      <c r="C32" s="13" t="s">
        <v>13</v>
      </c>
      <c r="D32" s="12" t="s">
        <v>188</v>
      </c>
    </row>
    <row r="33" spans="1:4" ht="15.75" customHeight="1" x14ac:dyDescent="0.25">
      <c r="A33" s="13">
        <v>32</v>
      </c>
      <c r="B33" s="30" t="s">
        <v>190</v>
      </c>
      <c r="C33" s="13" t="s">
        <v>13</v>
      </c>
      <c r="D33" s="12" t="s">
        <v>191</v>
      </c>
    </row>
    <row r="34" spans="1:4" ht="15.75" customHeight="1" x14ac:dyDescent="0.25">
      <c r="A34" s="13">
        <v>33</v>
      </c>
      <c r="B34" s="30" t="s">
        <v>192</v>
      </c>
      <c r="C34" s="13" t="s">
        <v>13</v>
      </c>
      <c r="D34" s="12" t="s">
        <v>191</v>
      </c>
    </row>
    <row r="35" spans="1:4" ht="15.75" customHeight="1" x14ac:dyDescent="0.25">
      <c r="A35" s="13">
        <v>34</v>
      </c>
      <c r="B35" s="30" t="s">
        <v>193</v>
      </c>
      <c r="C35" s="13" t="s">
        <v>13</v>
      </c>
      <c r="D35" s="12" t="s">
        <v>194</v>
      </c>
    </row>
    <row r="36" spans="1:4" ht="15.75" customHeight="1" x14ac:dyDescent="0.25">
      <c r="A36" s="13">
        <v>35</v>
      </c>
      <c r="B36" s="30" t="s">
        <v>195</v>
      </c>
      <c r="C36" s="13" t="s">
        <v>13</v>
      </c>
      <c r="D36" s="12" t="s">
        <v>194</v>
      </c>
    </row>
    <row r="37" spans="1:4" ht="15.75" customHeight="1" x14ac:dyDescent="0.25">
      <c r="A37" s="13">
        <v>36</v>
      </c>
      <c r="B37" s="30" t="s">
        <v>196</v>
      </c>
      <c r="C37" s="13" t="s">
        <v>13</v>
      </c>
      <c r="D37" s="12" t="s">
        <v>197</v>
      </c>
    </row>
    <row r="38" spans="1:4" ht="15.75" customHeight="1" x14ac:dyDescent="0.25">
      <c r="A38" s="13">
        <v>37</v>
      </c>
      <c r="B38" s="30" t="s">
        <v>198</v>
      </c>
      <c r="C38" s="13" t="s">
        <v>13</v>
      </c>
      <c r="D38" s="12" t="s">
        <v>199</v>
      </c>
    </row>
    <row r="39" spans="1:4" ht="15.75" customHeight="1" x14ac:dyDescent="0.25">
      <c r="A39" s="13">
        <v>38</v>
      </c>
      <c r="B39" s="30" t="s">
        <v>200</v>
      </c>
      <c r="C39" s="13" t="s">
        <v>13</v>
      </c>
      <c r="D39" s="12" t="s">
        <v>199</v>
      </c>
    </row>
    <row r="40" spans="1:4" ht="15.75" customHeight="1" x14ac:dyDescent="0.25">
      <c r="A40" s="13">
        <v>39</v>
      </c>
      <c r="B40" s="30" t="s">
        <v>201</v>
      </c>
      <c r="C40" s="13" t="s">
        <v>13</v>
      </c>
      <c r="D40" s="12" t="s">
        <v>201</v>
      </c>
    </row>
    <row r="41" spans="1:4" ht="15.75" customHeight="1" x14ac:dyDescent="0.25">
      <c r="A41" s="13">
        <v>40</v>
      </c>
      <c r="B41" s="12" t="s">
        <v>202</v>
      </c>
      <c r="C41" s="13" t="s">
        <v>13</v>
      </c>
      <c r="D41" s="12" t="s">
        <v>203</v>
      </c>
    </row>
    <row r="42" spans="1:4" ht="15.75" customHeight="1" x14ac:dyDescent="0.25">
      <c r="A42" s="13">
        <v>41</v>
      </c>
      <c r="B42" s="12" t="s">
        <v>204</v>
      </c>
      <c r="C42" s="13" t="s">
        <v>13</v>
      </c>
      <c r="D42" s="12" t="s">
        <v>203</v>
      </c>
    </row>
    <row r="43" spans="1:4" ht="15.75" customHeight="1" x14ac:dyDescent="0.25">
      <c r="A43" s="13">
        <v>42</v>
      </c>
      <c r="B43" s="12" t="s">
        <v>205</v>
      </c>
      <c r="C43" s="13" t="s">
        <v>13</v>
      </c>
      <c r="D43" s="12" t="s">
        <v>205</v>
      </c>
    </row>
    <row r="44" spans="1:4" ht="15.75" customHeight="1" x14ac:dyDescent="0.25">
      <c r="A44" s="13">
        <v>43</v>
      </c>
      <c r="B44" s="30" t="s">
        <v>206</v>
      </c>
      <c r="C44" s="13" t="s">
        <v>13</v>
      </c>
      <c r="D44" s="12" t="s">
        <v>207</v>
      </c>
    </row>
    <row r="45" spans="1:4" ht="15.75" customHeight="1" x14ac:dyDescent="0.25">
      <c r="A45" s="13">
        <v>44</v>
      </c>
      <c r="B45" s="30" t="s">
        <v>208</v>
      </c>
      <c r="C45" s="13" t="s">
        <v>13</v>
      </c>
      <c r="D45" s="12" t="s">
        <v>209</v>
      </c>
    </row>
    <row r="46" spans="1:4" ht="15.75" customHeight="1" x14ac:dyDescent="0.25">
      <c r="A46" s="13">
        <v>45</v>
      </c>
      <c r="B46" s="30" t="s">
        <v>210</v>
      </c>
      <c r="C46" s="13" t="s">
        <v>13</v>
      </c>
      <c r="D46" s="12" t="s">
        <v>209</v>
      </c>
    </row>
    <row r="47" spans="1:4" ht="15.75" customHeight="1" x14ac:dyDescent="0.25">
      <c r="A47" s="13">
        <v>46</v>
      </c>
      <c r="B47" s="12" t="s">
        <v>211</v>
      </c>
      <c r="C47" s="13" t="s">
        <v>13</v>
      </c>
      <c r="D47" s="12" t="s">
        <v>212</v>
      </c>
    </row>
    <row r="48" spans="1:4" ht="15.75" customHeight="1" x14ac:dyDescent="0.25">
      <c r="A48" s="13">
        <v>47</v>
      </c>
      <c r="B48" s="12" t="s">
        <v>213</v>
      </c>
      <c r="C48" s="13" t="s">
        <v>13</v>
      </c>
      <c r="D48" s="12" t="s">
        <v>212</v>
      </c>
    </row>
    <row r="49" spans="1:4" ht="15.75" customHeight="1" x14ac:dyDescent="0.25">
      <c r="A49" s="13">
        <v>48</v>
      </c>
      <c r="B49" s="30" t="s">
        <v>214</v>
      </c>
      <c r="C49" s="13" t="s">
        <v>13</v>
      </c>
      <c r="D49" s="12" t="s">
        <v>215</v>
      </c>
    </row>
    <row r="50" spans="1:4" ht="15.75" customHeight="1" x14ac:dyDescent="0.25">
      <c r="A50" s="13">
        <v>49</v>
      </c>
      <c r="B50" s="30" t="s">
        <v>216</v>
      </c>
      <c r="C50" s="13" t="s">
        <v>13</v>
      </c>
      <c r="D50" s="12" t="s">
        <v>215</v>
      </c>
    </row>
    <row r="51" spans="1:4" ht="15.75" customHeight="1" x14ac:dyDescent="0.25">
      <c r="A51" s="13">
        <v>50</v>
      </c>
      <c r="B51" s="12" t="s">
        <v>217</v>
      </c>
      <c r="C51" s="13" t="s">
        <v>13</v>
      </c>
      <c r="D51" s="12" t="s">
        <v>218</v>
      </c>
    </row>
    <row r="52" spans="1:4" ht="15.75" customHeight="1" x14ac:dyDescent="0.25">
      <c r="A52" s="13">
        <v>51</v>
      </c>
      <c r="B52" s="30" t="s">
        <v>219</v>
      </c>
      <c r="C52" s="13" t="s">
        <v>13</v>
      </c>
      <c r="D52" s="12" t="s">
        <v>218</v>
      </c>
    </row>
    <row r="53" spans="1:4" ht="15.75" customHeight="1" x14ac:dyDescent="0.25">
      <c r="A53" s="13">
        <v>52</v>
      </c>
      <c r="B53" s="30" t="s">
        <v>220</v>
      </c>
      <c r="C53" s="13" t="s">
        <v>13</v>
      </c>
      <c r="D53" s="12" t="s">
        <v>221</v>
      </c>
    </row>
    <row r="54" spans="1:4" ht="15.75" customHeight="1" x14ac:dyDescent="0.25">
      <c r="A54" s="13">
        <v>53</v>
      </c>
      <c r="B54" s="30" t="s">
        <v>222</v>
      </c>
      <c r="C54" s="13" t="s">
        <v>13</v>
      </c>
      <c r="D54" s="12" t="s">
        <v>221</v>
      </c>
    </row>
    <row r="55" spans="1:4" ht="15.75" customHeight="1" x14ac:dyDescent="0.25">
      <c r="A55" s="13">
        <v>54</v>
      </c>
      <c r="B55" s="30" t="s">
        <v>223</v>
      </c>
      <c r="C55" s="13" t="s">
        <v>13</v>
      </c>
      <c r="D55" s="12" t="s">
        <v>224</v>
      </c>
    </row>
    <row r="56" spans="1:4" ht="15.75" customHeight="1" x14ac:dyDescent="0.25">
      <c r="A56" s="13">
        <v>55</v>
      </c>
      <c r="B56" s="30" t="s">
        <v>225</v>
      </c>
      <c r="C56" s="13" t="s">
        <v>13</v>
      </c>
      <c r="D56" s="12" t="s">
        <v>224</v>
      </c>
    </row>
    <row r="57" spans="1:4" ht="15.75" customHeight="1" x14ac:dyDescent="0.25">
      <c r="A57" s="13">
        <v>56</v>
      </c>
      <c r="B57" s="12" t="s">
        <v>226</v>
      </c>
      <c r="C57" s="13" t="s">
        <v>13</v>
      </c>
      <c r="D57" s="12" t="s">
        <v>227</v>
      </c>
    </row>
    <row r="58" spans="1:4" ht="15.75" customHeight="1" x14ac:dyDescent="0.25">
      <c r="A58" s="13">
        <v>57</v>
      </c>
      <c r="B58" s="12" t="s">
        <v>228</v>
      </c>
      <c r="C58" s="13" t="s">
        <v>13</v>
      </c>
      <c r="D58" s="12" t="s">
        <v>227</v>
      </c>
    </row>
    <row r="59" spans="1:4" ht="15.75" customHeight="1" x14ac:dyDescent="0.25">
      <c r="A59" s="13">
        <v>58</v>
      </c>
      <c r="B59" s="12" t="s">
        <v>229</v>
      </c>
      <c r="C59" s="13" t="s">
        <v>13</v>
      </c>
      <c r="D59" s="12" t="s">
        <v>230</v>
      </c>
    </row>
    <row r="60" spans="1:4" ht="15.75" customHeight="1" x14ac:dyDescent="0.25">
      <c r="A60" s="13">
        <v>59</v>
      </c>
      <c r="B60" s="30" t="s">
        <v>231</v>
      </c>
      <c r="C60" s="13" t="s">
        <v>13</v>
      </c>
      <c r="D60" s="12" t="s">
        <v>230</v>
      </c>
    </row>
    <row r="61" spans="1:4" ht="15.75" customHeight="1" x14ac:dyDescent="0.25">
      <c r="A61" s="13">
        <v>60</v>
      </c>
      <c r="B61" s="30" t="s">
        <v>232</v>
      </c>
      <c r="C61" s="13" t="s">
        <v>13</v>
      </c>
      <c r="D61" s="12" t="s">
        <v>233</v>
      </c>
    </row>
    <row r="62" spans="1:4" ht="15.75" customHeight="1" x14ac:dyDescent="0.25">
      <c r="A62" s="13">
        <v>61</v>
      </c>
      <c r="B62" s="30" t="s">
        <v>234</v>
      </c>
      <c r="C62" s="13" t="s">
        <v>13</v>
      </c>
      <c r="D62" s="12" t="s">
        <v>233</v>
      </c>
    </row>
    <row r="63" spans="1:4" ht="15.75" customHeight="1" x14ac:dyDescent="0.25">
      <c r="A63" s="13">
        <v>62</v>
      </c>
      <c r="B63" s="30" t="s">
        <v>235</v>
      </c>
      <c r="C63" s="13" t="s">
        <v>13</v>
      </c>
      <c r="D63" s="12" t="s">
        <v>236</v>
      </c>
    </row>
    <row r="64" spans="1:4" ht="15.75" customHeight="1" x14ac:dyDescent="0.25">
      <c r="A64" s="13">
        <v>63</v>
      </c>
      <c r="B64" s="30" t="s">
        <v>237</v>
      </c>
      <c r="C64" s="13" t="s">
        <v>13</v>
      </c>
      <c r="D64" s="12" t="s">
        <v>236</v>
      </c>
    </row>
    <row r="65" spans="1:4" ht="15.75" customHeight="1" x14ac:dyDescent="0.25">
      <c r="A65" s="13">
        <v>64</v>
      </c>
      <c r="B65" s="30" t="s">
        <v>238</v>
      </c>
      <c r="C65" s="13" t="s">
        <v>13</v>
      </c>
      <c r="D65" s="12" t="s">
        <v>239</v>
      </c>
    </row>
    <row r="66" spans="1:4" ht="15.75" customHeight="1" x14ac:dyDescent="0.25">
      <c r="A66" s="13">
        <v>65</v>
      </c>
      <c r="B66" s="30" t="s">
        <v>240</v>
      </c>
      <c r="C66" s="13" t="s">
        <v>13</v>
      </c>
      <c r="D66" s="12" t="s">
        <v>239</v>
      </c>
    </row>
    <row r="67" spans="1:4" ht="15.75" customHeight="1" x14ac:dyDescent="0.25">
      <c r="A67" s="13">
        <v>66</v>
      </c>
      <c r="B67" s="30" t="s">
        <v>241</v>
      </c>
      <c r="C67" s="13" t="s">
        <v>13</v>
      </c>
      <c r="D67" s="12" t="s">
        <v>242</v>
      </c>
    </row>
    <row r="68" spans="1:4" ht="15.75" customHeight="1" x14ac:dyDescent="0.25">
      <c r="A68" s="13">
        <v>67</v>
      </c>
      <c r="B68" s="30" t="s">
        <v>243</v>
      </c>
      <c r="C68" s="13" t="s">
        <v>13</v>
      </c>
      <c r="D68" s="12" t="s">
        <v>244</v>
      </c>
    </row>
    <row r="69" spans="1:4" ht="15.75" customHeight="1" x14ac:dyDescent="0.25">
      <c r="A69" s="13">
        <v>68</v>
      </c>
      <c r="B69" s="12" t="s">
        <v>245</v>
      </c>
      <c r="C69" s="13" t="s">
        <v>13</v>
      </c>
      <c r="D69" s="12" t="s">
        <v>246</v>
      </c>
    </row>
    <row r="70" spans="1:4" ht="15.75" customHeight="1" x14ac:dyDescent="0.25">
      <c r="A70" s="31">
        <v>69</v>
      </c>
      <c r="B70" s="32" t="s">
        <v>247</v>
      </c>
      <c r="C70" s="33" t="s">
        <v>13</v>
      </c>
      <c r="D70" s="32" t="s">
        <v>248</v>
      </c>
    </row>
    <row r="71" spans="1:4" ht="15.75" customHeight="1" x14ac:dyDescent="0.25">
      <c r="A71" s="34"/>
      <c r="C71" s="34"/>
    </row>
    <row r="72" spans="1:4" ht="15.75" customHeight="1" x14ac:dyDescent="0.25">
      <c r="A72" s="34"/>
      <c r="C72" s="34"/>
    </row>
    <row r="73" spans="1:4" ht="15.75" customHeight="1" x14ac:dyDescent="0.25">
      <c r="A73" s="34"/>
      <c r="C73" s="34"/>
    </row>
    <row r="74" spans="1:4" ht="15.75" customHeight="1" x14ac:dyDescent="0.25">
      <c r="A74" s="34"/>
      <c r="C74" s="34"/>
    </row>
    <row r="75" spans="1:4" ht="15.75" customHeight="1" x14ac:dyDescent="0.25">
      <c r="A75" s="34"/>
      <c r="C75" s="34"/>
    </row>
    <row r="76" spans="1:4" ht="15.75" customHeight="1" x14ac:dyDescent="0.25">
      <c r="A76" s="34"/>
      <c r="C76" s="34"/>
    </row>
    <row r="77" spans="1:4" ht="15.75" customHeight="1" x14ac:dyDescent="0.25">
      <c r="A77" s="34"/>
      <c r="C77" s="34"/>
    </row>
    <row r="78" spans="1:4" ht="15.75" customHeight="1" x14ac:dyDescent="0.25">
      <c r="A78" s="34"/>
      <c r="C78" s="34"/>
    </row>
    <row r="79" spans="1:4" ht="15.75" customHeight="1" x14ac:dyDescent="0.25">
      <c r="A79" s="34"/>
      <c r="C79" s="34"/>
    </row>
    <row r="80" spans="1:4" ht="15.75" customHeight="1" x14ac:dyDescent="0.25">
      <c r="A80" s="34"/>
      <c r="C80" s="34"/>
    </row>
    <row r="81" spans="1:3" ht="15.75" customHeight="1" x14ac:dyDescent="0.25">
      <c r="A81" s="34"/>
      <c r="C81" s="34"/>
    </row>
    <row r="82" spans="1:3" ht="15.75" customHeight="1" x14ac:dyDescent="0.25">
      <c r="A82" s="34"/>
      <c r="C82" s="34"/>
    </row>
    <row r="83" spans="1:3" ht="15.75" customHeight="1" x14ac:dyDescent="0.25">
      <c r="A83" s="34"/>
      <c r="C83" s="34"/>
    </row>
    <row r="84" spans="1:3" ht="15.75" customHeight="1" x14ac:dyDescent="0.25">
      <c r="A84" s="34"/>
      <c r="C84" s="34"/>
    </row>
    <row r="85" spans="1:3" ht="15.75" customHeight="1" x14ac:dyDescent="0.25">
      <c r="A85" s="34"/>
      <c r="C85" s="34"/>
    </row>
    <row r="86" spans="1:3" ht="15.75" customHeight="1" x14ac:dyDescent="0.25">
      <c r="A86" s="34"/>
      <c r="C86" s="34"/>
    </row>
    <row r="87" spans="1:3" ht="15.75" customHeight="1" x14ac:dyDescent="0.25">
      <c r="A87" s="34"/>
      <c r="C87" s="34"/>
    </row>
    <row r="88" spans="1:3" ht="15.75" customHeight="1" x14ac:dyDescent="0.25">
      <c r="A88" s="34"/>
      <c r="C88" s="34"/>
    </row>
    <row r="89" spans="1:3" ht="15.75" customHeight="1" x14ac:dyDescent="0.25">
      <c r="A89" s="34"/>
      <c r="C89" s="34"/>
    </row>
    <row r="90" spans="1:3" ht="15.75" customHeight="1" x14ac:dyDescent="0.25">
      <c r="A90" s="34"/>
      <c r="C90" s="34"/>
    </row>
    <row r="91" spans="1:3" ht="15.75" customHeight="1" x14ac:dyDescent="0.25">
      <c r="A91" s="34"/>
      <c r="C91" s="34"/>
    </row>
    <row r="92" spans="1:3" ht="15.75" customHeight="1" x14ac:dyDescent="0.25">
      <c r="A92" s="34"/>
      <c r="C92" s="34"/>
    </row>
    <row r="93" spans="1:3" ht="15.75" customHeight="1" x14ac:dyDescent="0.25">
      <c r="A93" s="34"/>
      <c r="C93" s="34"/>
    </row>
    <row r="94" spans="1:3" ht="15.75" customHeight="1" x14ac:dyDescent="0.25">
      <c r="A94" s="34"/>
      <c r="C94" s="34"/>
    </row>
    <row r="95" spans="1:3" ht="15.75" customHeight="1" x14ac:dyDescent="0.25">
      <c r="A95" s="34"/>
      <c r="C95" s="34"/>
    </row>
    <row r="96" spans="1:3" ht="15.75" customHeight="1" x14ac:dyDescent="0.25">
      <c r="A96" s="34"/>
      <c r="C96" s="34"/>
    </row>
    <row r="97" spans="1:3" ht="15.75" customHeight="1" x14ac:dyDescent="0.25">
      <c r="A97" s="34"/>
      <c r="C97" s="34"/>
    </row>
    <row r="98" spans="1:3" ht="15.75" customHeight="1" x14ac:dyDescent="0.25">
      <c r="A98" s="34"/>
      <c r="C98" s="34"/>
    </row>
    <row r="99" spans="1:3" ht="15.75" customHeight="1" x14ac:dyDescent="0.25">
      <c r="A99" s="34"/>
      <c r="C99" s="34"/>
    </row>
    <row r="100" spans="1:3" ht="15.75" customHeight="1" x14ac:dyDescent="0.25">
      <c r="A100" s="34"/>
      <c r="C100" s="34"/>
    </row>
    <row r="101" spans="1:3" ht="15.75" customHeight="1" x14ac:dyDescent="0.25">
      <c r="A101" s="34"/>
      <c r="C101" s="34"/>
    </row>
    <row r="102" spans="1:3" ht="15.75" customHeight="1" x14ac:dyDescent="0.25">
      <c r="A102" s="34"/>
      <c r="C102" s="34"/>
    </row>
    <row r="103" spans="1:3" ht="15.75" customHeight="1" x14ac:dyDescent="0.25">
      <c r="A103" s="34"/>
      <c r="C103" s="34"/>
    </row>
    <row r="104" spans="1:3" ht="15.75" customHeight="1" x14ac:dyDescent="0.25">
      <c r="A104" s="34"/>
      <c r="C104" s="34"/>
    </row>
    <row r="105" spans="1:3" ht="15.75" customHeight="1" x14ac:dyDescent="0.25">
      <c r="A105" s="34"/>
      <c r="C105" s="34"/>
    </row>
    <row r="106" spans="1:3" ht="15.75" customHeight="1" x14ac:dyDescent="0.25">
      <c r="A106" s="34"/>
      <c r="C106" s="34"/>
    </row>
    <row r="107" spans="1:3" ht="15.75" customHeight="1" x14ac:dyDescent="0.25">
      <c r="A107" s="34"/>
      <c r="C107" s="34"/>
    </row>
    <row r="108" spans="1:3" ht="15.75" customHeight="1" x14ac:dyDescent="0.25">
      <c r="A108" s="34"/>
      <c r="C108" s="34"/>
    </row>
    <row r="109" spans="1:3" ht="15.75" customHeight="1" x14ac:dyDescent="0.25">
      <c r="A109" s="34"/>
      <c r="C109" s="34"/>
    </row>
    <row r="110" spans="1:3" ht="15.75" customHeight="1" x14ac:dyDescent="0.25">
      <c r="A110" s="34"/>
      <c r="C110" s="34"/>
    </row>
    <row r="111" spans="1:3" ht="15.75" customHeight="1" x14ac:dyDescent="0.25">
      <c r="A111" s="34"/>
      <c r="C111" s="34"/>
    </row>
    <row r="112" spans="1:3" ht="15.75" customHeight="1" x14ac:dyDescent="0.25">
      <c r="A112" s="34"/>
      <c r="C112" s="34"/>
    </row>
    <row r="113" spans="1:3" ht="15.75" customHeight="1" x14ac:dyDescent="0.25">
      <c r="A113" s="34"/>
      <c r="C113" s="34"/>
    </row>
    <row r="114" spans="1:3" ht="15.75" customHeight="1" x14ac:dyDescent="0.25">
      <c r="A114" s="34"/>
      <c r="C114" s="34"/>
    </row>
    <row r="115" spans="1:3" ht="15.75" customHeight="1" x14ac:dyDescent="0.25">
      <c r="A115" s="34"/>
      <c r="C115" s="34"/>
    </row>
    <row r="116" spans="1:3" ht="15.75" customHeight="1" x14ac:dyDescent="0.25">
      <c r="A116" s="34"/>
      <c r="C116" s="34"/>
    </row>
    <row r="117" spans="1:3" ht="15.75" customHeight="1" x14ac:dyDescent="0.25">
      <c r="A117" s="34"/>
      <c r="C117" s="34"/>
    </row>
    <row r="118" spans="1:3" ht="15.75" customHeight="1" x14ac:dyDescent="0.25">
      <c r="A118" s="34"/>
      <c r="C118" s="34"/>
    </row>
    <row r="119" spans="1:3" ht="15.75" customHeight="1" x14ac:dyDescent="0.25">
      <c r="A119" s="34"/>
      <c r="C119" s="34"/>
    </row>
    <row r="120" spans="1:3" ht="15.75" customHeight="1" x14ac:dyDescent="0.25">
      <c r="A120" s="34"/>
      <c r="C120" s="34"/>
    </row>
    <row r="121" spans="1:3" ht="15.75" customHeight="1" x14ac:dyDescent="0.25">
      <c r="A121" s="34"/>
      <c r="C121" s="34"/>
    </row>
    <row r="122" spans="1:3" ht="15.75" customHeight="1" x14ac:dyDescent="0.25">
      <c r="A122" s="34"/>
      <c r="C122" s="34"/>
    </row>
    <row r="123" spans="1:3" ht="15.75" customHeight="1" x14ac:dyDescent="0.25">
      <c r="A123" s="34"/>
      <c r="C123" s="34"/>
    </row>
    <row r="124" spans="1:3" ht="15.75" customHeight="1" x14ac:dyDescent="0.25">
      <c r="A124" s="34"/>
      <c r="C124" s="34"/>
    </row>
    <row r="125" spans="1:3" ht="15.75" customHeight="1" x14ac:dyDescent="0.25">
      <c r="A125" s="34"/>
      <c r="C125" s="34"/>
    </row>
    <row r="126" spans="1:3" ht="15.75" customHeight="1" x14ac:dyDescent="0.25">
      <c r="A126" s="34"/>
      <c r="C126" s="34"/>
    </row>
    <row r="127" spans="1:3" ht="15.75" customHeight="1" x14ac:dyDescent="0.25">
      <c r="A127" s="34"/>
      <c r="C127" s="34"/>
    </row>
    <row r="128" spans="1:3" ht="15.75" customHeight="1" x14ac:dyDescent="0.25">
      <c r="A128" s="34"/>
      <c r="C128" s="34"/>
    </row>
    <row r="129" spans="1:3" ht="15.75" customHeight="1" x14ac:dyDescent="0.25">
      <c r="A129" s="34"/>
      <c r="C129" s="34"/>
    </row>
    <row r="130" spans="1:3" ht="15.75" customHeight="1" x14ac:dyDescent="0.25">
      <c r="A130" s="34"/>
      <c r="C130" s="34"/>
    </row>
    <row r="131" spans="1:3" ht="15.75" customHeight="1" x14ac:dyDescent="0.25">
      <c r="A131" s="34"/>
      <c r="C131" s="34"/>
    </row>
    <row r="132" spans="1:3" ht="15.75" customHeight="1" x14ac:dyDescent="0.25">
      <c r="A132" s="34"/>
      <c r="C132" s="34"/>
    </row>
    <row r="133" spans="1:3" ht="15.75" customHeight="1" x14ac:dyDescent="0.25">
      <c r="A133" s="34"/>
      <c r="C133" s="34"/>
    </row>
    <row r="134" spans="1:3" ht="15.75" customHeight="1" x14ac:dyDescent="0.25">
      <c r="A134" s="34"/>
      <c r="C134" s="34"/>
    </row>
    <row r="135" spans="1:3" ht="15.75" customHeight="1" x14ac:dyDescent="0.25">
      <c r="A135" s="34"/>
      <c r="C135" s="34"/>
    </row>
    <row r="136" spans="1:3" ht="15.75" customHeight="1" x14ac:dyDescent="0.25">
      <c r="A136" s="34"/>
      <c r="C136" s="34"/>
    </row>
    <row r="137" spans="1:3" ht="15.75" customHeight="1" x14ac:dyDescent="0.25">
      <c r="A137" s="34"/>
      <c r="C137" s="34"/>
    </row>
    <row r="138" spans="1:3" ht="15.75" customHeight="1" x14ac:dyDescent="0.25">
      <c r="A138" s="34"/>
      <c r="C138" s="34"/>
    </row>
    <row r="139" spans="1:3" ht="15.75" customHeight="1" x14ac:dyDescent="0.25">
      <c r="A139" s="34"/>
      <c r="C139" s="34"/>
    </row>
    <row r="140" spans="1:3" ht="15.75" customHeight="1" x14ac:dyDescent="0.25">
      <c r="A140" s="34"/>
      <c r="C140" s="34"/>
    </row>
    <row r="141" spans="1:3" ht="15.75" customHeight="1" x14ac:dyDescent="0.25">
      <c r="A141" s="34"/>
      <c r="C141" s="34"/>
    </row>
    <row r="142" spans="1:3" ht="15.75" customHeight="1" x14ac:dyDescent="0.25">
      <c r="A142" s="34"/>
      <c r="C142" s="34"/>
    </row>
    <row r="143" spans="1:3" ht="15.75" customHeight="1" x14ac:dyDescent="0.25">
      <c r="A143" s="34"/>
      <c r="C143" s="34"/>
    </row>
    <row r="144" spans="1:3" ht="15.75" customHeight="1" x14ac:dyDescent="0.25">
      <c r="A144" s="34"/>
      <c r="C144" s="34"/>
    </row>
    <row r="145" spans="1:3" ht="15.75" customHeight="1" x14ac:dyDescent="0.25">
      <c r="A145" s="34"/>
      <c r="C145" s="34"/>
    </row>
    <row r="146" spans="1:3" ht="15.75" customHeight="1" x14ac:dyDescent="0.25">
      <c r="A146" s="34"/>
      <c r="C146" s="34"/>
    </row>
    <row r="147" spans="1:3" ht="15.75" customHeight="1" x14ac:dyDescent="0.25">
      <c r="A147" s="34"/>
      <c r="C147" s="34"/>
    </row>
    <row r="148" spans="1:3" ht="15.75" customHeight="1" x14ac:dyDescent="0.25">
      <c r="A148" s="34"/>
      <c r="C148" s="34"/>
    </row>
    <row r="149" spans="1:3" ht="15.75" customHeight="1" x14ac:dyDescent="0.25">
      <c r="A149" s="34"/>
      <c r="C149" s="34"/>
    </row>
    <row r="150" spans="1:3" ht="15.75" customHeight="1" x14ac:dyDescent="0.25">
      <c r="A150" s="34"/>
      <c r="C150" s="34"/>
    </row>
    <row r="151" spans="1:3" ht="15.75" customHeight="1" x14ac:dyDescent="0.25">
      <c r="A151" s="34"/>
      <c r="C151" s="34"/>
    </row>
    <row r="152" spans="1:3" ht="15.75" customHeight="1" x14ac:dyDescent="0.25">
      <c r="A152" s="34"/>
      <c r="C152" s="34"/>
    </row>
    <row r="153" spans="1:3" ht="15.75" customHeight="1" x14ac:dyDescent="0.25">
      <c r="A153" s="34"/>
      <c r="C153" s="34"/>
    </row>
    <row r="154" spans="1:3" ht="15.75" customHeight="1" x14ac:dyDescent="0.25">
      <c r="A154" s="34"/>
      <c r="C154" s="34"/>
    </row>
    <row r="155" spans="1:3" ht="15.75" customHeight="1" x14ac:dyDescent="0.25">
      <c r="A155" s="34"/>
      <c r="C155" s="34"/>
    </row>
    <row r="156" spans="1:3" ht="15.75" customHeight="1" x14ac:dyDescent="0.25">
      <c r="A156" s="34"/>
      <c r="C156" s="34"/>
    </row>
    <row r="157" spans="1:3" ht="15.75" customHeight="1" x14ac:dyDescent="0.25">
      <c r="A157" s="34"/>
      <c r="C157" s="34"/>
    </row>
    <row r="158" spans="1:3" ht="15.75" customHeight="1" x14ac:dyDescent="0.25">
      <c r="A158" s="34"/>
      <c r="C158" s="34"/>
    </row>
    <row r="159" spans="1:3" ht="15.75" customHeight="1" x14ac:dyDescent="0.25">
      <c r="A159" s="34"/>
      <c r="C159" s="34"/>
    </row>
    <row r="160" spans="1:3" ht="15.75" customHeight="1" x14ac:dyDescent="0.25">
      <c r="A160" s="34"/>
      <c r="C160" s="34"/>
    </row>
    <row r="161" spans="1:3" ht="15.75" customHeight="1" x14ac:dyDescent="0.25">
      <c r="A161" s="34"/>
      <c r="C161" s="34"/>
    </row>
    <row r="162" spans="1:3" ht="15.75" customHeight="1" x14ac:dyDescent="0.25">
      <c r="A162" s="34"/>
      <c r="C162" s="34"/>
    </row>
    <row r="163" spans="1:3" ht="15.75" customHeight="1" x14ac:dyDescent="0.25">
      <c r="A163" s="34"/>
      <c r="C163" s="34"/>
    </row>
    <row r="164" spans="1:3" ht="15.75" customHeight="1" x14ac:dyDescent="0.25">
      <c r="A164" s="34"/>
      <c r="C164" s="34"/>
    </row>
    <row r="165" spans="1:3" ht="15.75" customHeight="1" x14ac:dyDescent="0.25">
      <c r="A165" s="34"/>
      <c r="C165" s="34"/>
    </row>
    <row r="166" spans="1:3" ht="15.75" customHeight="1" x14ac:dyDescent="0.25">
      <c r="A166" s="34"/>
      <c r="C166" s="34"/>
    </row>
    <row r="167" spans="1:3" ht="15.75" customHeight="1" x14ac:dyDescent="0.25">
      <c r="A167" s="34"/>
      <c r="C167" s="34"/>
    </row>
    <row r="168" spans="1:3" ht="15.75" customHeight="1" x14ac:dyDescent="0.25">
      <c r="A168" s="34"/>
      <c r="C168" s="34"/>
    </row>
    <row r="169" spans="1:3" ht="15.75" customHeight="1" x14ac:dyDescent="0.25">
      <c r="A169" s="34"/>
      <c r="C169" s="34"/>
    </row>
    <row r="170" spans="1:3" ht="15.75" customHeight="1" x14ac:dyDescent="0.25">
      <c r="A170" s="34"/>
      <c r="C170" s="34"/>
    </row>
    <row r="171" spans="1:3" ht="15.75" customHeight="1" x14ac:dyDescent="0.25">
      <c r="A171" s="34"/>
      <c r="C171" s="34"/>
    </row>
    <row r="172" spans="1:3" ht="15.75" customHeight="1" x14ac:dyDescent="0.25">
      <c r="A172" s="34"/>
      <c r="C172" s="34"/>
    </row>
    <row r="173" spans="1:3" ht="15.75" customHeight="1" x14ac:dyDescent="0.25">
      <c r="A173" s="34"/>
      <c r="C173" s="34"/>
    </row>
    <row r="174" spans="1:3" ht="15.75" customHeight="1" x14ac:dyDescent="0.25">
      <c r="A174" s="34"/>
      <c r="C174" s="34"/>
    </row>
    <row r="175" spans="1:3" ht="15.75" customHeight="1" x14ac:dyDescent="0.25">
      <c r="A175" s="34"/>
      <c r="C175" s="34"/>
    </row>
    <row r="176" spans="1:3" ht="15.75" customHeight="1" x14ac:dyDescent="0.25">
      <c r="A176" s="34"/>
      <c r="C176" s="34"/>
    </row>
    <row r="177" spans="1:3" ht="15.75" customHeight="1" x14ac:dyDescent="0.25">
      <c r="A177" s="34"/>
      <c r="C177" s="34"/>
    </row>
    <row r="178" spans="1:3" ht="15.75" customHeight="1" x14ac:dyDescent="0.25">
      <c r="A178" s="34"/>
      <c r="C178" s="34"/>
    </row>
    <row r="179" spans="1:3" ht="15.75" customHeight="1" x14ac:dyDescent="0.25">
      <c r="A179" s="34"/>
      <c r="C179" s="34"/>
    </row>
    <row r="180" spans="1:3" ht="15.75" customHeight="1" x14ac:dyDescent="0.25">
      <c r="A180" s="34"/>
      <c r="C180" s="34"/>
    </row>
    <row r="181" spans="1:3" ht="15.75" customHeight="1" x14ac:dyDescent="0.25">
      <c r="A181" s="34"/>
      <c r="C181" s="34"/>
    </row>
    <row r="182" spans="1:3" ht="15.75" customHeight="1" x14ac:dyDescent="0.25">
      <c r="A182" s="34"/>
      <c r="C182" s="34"/>
    </row>
    <row r="183" spans="1:3" ht="15.75" customHeight="1" x14ac:dyDescent="0.25">
      <c r="A183" s="34"/>
      <c r="C183" s="34"/>
    </row>
    <row r="184" spans="1:3" ht="15.75" customHeight="1" x14ac:dyDescent="0.25">
      <c r="A184" s="34"/>
      <c r="C184" s="34"/>
    </row>
    <row r="185" spans="1:3" ht="15.75" customHeight="1" x14ac:dyDescent="0.25">
      <c r="A185" s="34"/>
      <c r="C185" s="34"/>
    </row>
    <row r="186" spans="1:3" ht="15.75" customHeight="1" x14ac:dyDescent="0.25">
      <c r="A186" s="34"/>
      <c r="C186" s="34"/>
    </row>
    <row r="187" spans="1:3" ht="15.75" customHeight="1" x14ac:dyDescent="0.25">
      <c r="A187" s="34"/>
      <c r="C187" s="34"/>
    </row>
    <row r="188" spans="1:3" ht="15.75" customHeight="1" x14ac:dyDescent="0.25">
      <c r="A188" s="34"/>
      <c r="C188" s="34"/>
    </row>
    <row r="189" spans="1:3" ht="15.75" customHeight="1" x14ac:dyDescent="0.25">
      <c r="A189" s="34"/>
      <c r="C189" s="34"/>
    </row>
    <row r="190" spans="1:3" ht="15.75" customHeight="1" x14ac:dyDescent="0.25">
      <c r="A190" s="34"/>
      <c r="C190" s="34"/>
    </row>
    <row r="191" spans="1:3" ht="15.75" customHeight="1" x14ac:dyDescent="0.25">
      <c r="A191" s="34"/>
      <c r="C191" s="34"/>
    </row>
    <row r="192" spans="1:3" ht="15.75" customHeight="1" x14ac:dyDescent="0.25">
      <c r="A192" s="34"/>
      <c r="C192" s="34"/>
    </row>
    <row r="193" spans="1:3" ht="15.75" customHeight="1" x14ac:dyDescent="0.25">
      <c r="A193" s="34"/>
      <c r="C193" s="34"/>
    </row>
    <row r="194" spans="1:3" ht="15.75" customHeight="1" x14ac:dyDescent="0.25">
      <c r="A194" s="34"/>
      <c r="C194" s="34"/>
    </row>
    <row r="195" spans="1:3" ht="15.75" customHeight="1" x14ac:dyDescent="0.25">
      <c r="A195" s="34"/>
      <c r="C195" s="34"/>
    </row>
    <row r="196" spans="1:3" ht="15.75" customHeight="1" x14ac:dyDescent="0.25">
      <c r="A196" s="34"/>
      <c r="C196" s="34"/>
    </row>
    <row r="197" spans="1:3" ht="15.75" customHeight="1" x14ac:dyDescent="0.25">
      <c r="A197" s="34"/>
      <c r="C197" s="34"/>
    </row>
    <row r="198" spans="1:3" ht="15.75" customHeight="1" x14ac:dyDescent="0.25">
      <c r="A198" s="34"/>
      <c r="C198" s="34"/>
    </row>
    <row r="199" spans="1:3" ht="15.75" customHeight="1" x14ac:dyDescent="0.25">
      <c r="A199" s="34"/>
      <c r="C199" s="34"/>
    </row>
    <row r="200" spans="1:3" ht="15.75" customHeight="1" x14ac:dyDescent="0.25">
      <c r="A200" s="34"/>
      <c r="C200" s="34"/>
    </row>
    <row r="201" spans="1:3" ht="15.75" customHeight="1" x14ac:dyDescent="0.25">
      <c r="A201" s="34"/>
      <c r="C201" s="34"/>
    </row>
    <row r="202" spans="1:3" ht="15.75" customHeight="1" x14ac:dyDescent="0.25">
      <c r="A202" s="34"/>
      <c r="C202" s="34"/>
    </row>
    <row r="203" spans="1:3" ht="15.75" customHeight="1" x14ac:dyDescent="0.25">
      <c r="A203" s="34"/>
      <c r="C203" s="34"/>
    </row>
    <row r="204" spans="1:3" ht="15.75" customHeight="1" x14ac:dyDescent="0.25">
      <c r="A204" s="34"/>
      <c r="C204" s="34"/>
    </row>
    <row r="205" spans="1:3" ht="15.75" customHeight="1" x14ac:dyDescent="0.25">
      <c r="A205" s="34"/>
      <c r="C205" s="34"/>
    </row>
    <row r="206" spans="1:3" ht="15.75" customHeight="1" x14ac:dyDescent="0.25">
      <c r="A206" s="34"/>
      <c r="C206" s="34"/>
    </row>
    <row r="207" spans="1:3" ht="15.75" customHeight="1" x14ac:dyDescent="0.25">
      <c r="A207" s="34"/>
      <c r="C207" s="34"/>
    </row>
    <row r="208" spans="1:3" ht="15.75" customHeight="1" x14ac:dyDescent="0.25">
      <c r="A208" s="34"/>
      <c r="C208" s="34"/>
    </row>
    <row r="209" spans="1:3" ht="15.75" customHeight="1" x14ac:dyDescent="0.25">
      <c r="A209" s="34"/>
      <c r="C209" s="34"/>
    </row>
    <row r="210" spans="1:3" ht="15.75" customHeight="1" x14ac:dyDescent="0.25">
      <c r="A210" s="34"/>
      <c r="C210" s="34"/>
    </row>
    <row r="211" spans="1:3" ht="15.75" customHeight="1" x14ac:dyDescent="0.25">
      <c r="A211" s="34"/>
      <c r="C211" s="34"/>
    </row>
    <row r="212" spans="1:3" ht="15.75" customHeight="1" x14ac:dyDescent="0.25">
      <c r="A212" s="34"/>
      <c r="C212" s="34"/>
    </row>
    <row r="213" spans="1:3" ht="15.75" customHeight="1" x14ac:dyDescent="0.25">
      <c r="A213" s="34"/>
      <c r="C213" s="34"/>
    </row>
    <row r="214" spans="1:3" ht="15.75" customHeight="1" x14ac:dyDescent="0.25">
      <c r="A214" s="34"/>
      <c r="C214" s="34"/>
    </row>
    <row r="215" spans="1:3" ht="15.75" customHeight="1" x14ac:dyDescent="0.25">
      <c r="A215" s="34"/>
      <c r="C215" s="34"/>
    </row>
    <row r="216" spans="1:3" ht="15.75" customHeight="1" x14ac:dyDescent="0.25">
      <c r="A216" s="34"/>
      <c r="C216" s="34"/>
    </row>
    <row r="217" spans="1:3" ht="15.75" customHeight="1" x14ac:dyDescent="0.25">
      <c r="A217" s="34"/>
      <c r="C217" s="34"/>
    </row>
    <row r="218" spans="1:3" ht="15.75" customHeight="1" x14ac:dyDescent="0.25">
      <c r="A218" s="34"/>
      <c r="C218" s="34"/>
    </row>
    <row r="219" spans="1:3" ht="15.75" customHeight="1" x14ac:dyDescent="0.25">
      <c r="A219" s="34"/>
      <c r="C219" s="34"/>
    </row>
    <row r="220" spans="1:3" ht="15.75" customHeight="1" x14ac:dyDescent="0.25">
      <c r="A220" s="34"/>
      <c r="C220" s="34"/>
    </row>
    <row r="221" spans="1:3" ht="15.75" customHeight="1" x14ac:dyDescent="0.25">
      <c r="A221" s="34"/>
      <c r="C221" s="34"/>
    </row>
    <row r="222" spans="1:3" ht="15.75" customHeight="1" x14ac:dyDescent="0.25">
      <c r="A222" s="34"/>
      <c r="C222" s="34"/>
    </row>
    <row r="223" spans="1:3" ht="15.75" customHeight="1" x14ac:dyDescent="0.25">
      <c r="A223" s="34"/>
      <c r="C223" s="34"/>
    </row>
    <row r="224" spans="1:3" ht="15.75" customHeight="1" x14ac:dyDescent="0.25">
      <c r="A224" s="34"/>
      <c r="C224" s="34"/>
    </row>
    <row r="225" spans="1:3" ht="15.75" customHeight="1" x14ac:dyDescent="0.25">
      <c r="A225" s="34"/>
      <c r="C225" s="34"/>
    </row>
    <row r="226" spans="1:3" ht="15.75" customHeight="1" x14ac:dyDescent="0.25">
      <c r="A226" s="34"/>
      <c r="C226" s="34"/>
    </row>
    <row r="227" spans="1:3" ht="15.75" customHeight="1" x14ac:dyDescent="0.25">
      <c r="A227" s="34"/>
      <c r="C227" s="34"/>
    </row>
    <row r="228" spans="1:3" ht="15.75" customHeight="1" x14ac:dyDescent="0.25">
      <c r="A228" s="34"/>
      <c r="C228" s="34"/>
    </row>
    <row r="229" spans="1:3" ht="15.75" customHeight="1" x14ac:dyDescent="0.25">
      <c r="A229" s="34"/>
      <c r="C229" s="34"/>
    </row>
    <row r="230" spans="1:3" ht="15.75" customHeight="1" x14ac:dyDescent="0.25">
      <c r="A230" s="34"/>
      <c r="C230" s="34"/>
    </row>
    <row r="231" spans="1:3" ht="15.75" customHeight="1" x14ac:dyDescent="0.25">
      <c r="A231" s="34"/>
      <c r="C231" s="34"/>
    </row>
    <row r="232" spans="1:3" ht="15.75" customHeight="1" x14ac:dyDescent="0.25">
      <c r="A232" s="34"/>
      <c r="C232" s="34"/>
    </row>
    <row r="233" spans="1:3" ht="15.75" customHeight="1" x14ac:dyDescent="0.25">
      <c r="A233" s="34"/>
      <c r="C233" s="34"/>
    </row>
    <row r="234" spans="1:3" ht="15.75" customHeight="1" x14ac:dyDescent="0.25">
      <c r="A234" s="34"/>
      <c r="C234" s="34"/>
    </row>
    <row r="235" spans="1:3" ht="15.75" customHeight="1" x14ac:dyDescent="0.25">
      <c r="A235" s="34"/>
      <c r="C235" s="34"/>
    </row>
    <row r="236" spans="1:3" ht="15.75" customHeight="1" x14ac:dyDescent="0.25">
      <c r="A236" s="34"/>
      <c r="C236" s="34"/>
    </row>
    <row r="237" spans="1:3" ht="15.75" customHeight="1" x14ac:dyDescent="0.25">
      <c r="A237" s="34"/>
      <c r="C237" s="34"/>
    </row>
    <row r="238" spans="1:3" ht="15.75" customHeight="1" x14ac:dyDescent="0.25">
      <c r="A238" s="34"/>
      <c r="C238" s="34"/>
    </row>
    <row r="239" spans="1:3" ht="15.75" customHeight="1" x14ac:dyDescent="0.25">
      <c r="A239" s="34"/>
      <c r="C239" s="34"/>
    </row>
    <row r="240" spans="1:3" ht="15.75" customHeight="1" x14ac:dyDescent="0.25">
      <c r="A240" s="34"/>
      <c r="C240" s="34"/>
    </row>
    <row r="241" spans="1:3" ht="15.75" customHeight="1" x14ac:dyDescent="0.25">
      <c r="A241" s="34"/>
      <c r="C241" s="34"/>
    </row>
    <row r="242" spans="1:3" ht="15.75" customHeight="1" x14ac:dyDescent="0.25">
      <c r="A242" s="34"/>
      <c r="C242" s="34"/>
    </row>
    <row r="243" spans="1:3" ht="15.75" customHeight="1" x14ac:dyDescent="0.25">
      <c r="A243" s="34"/>
      <c r="C243" s="34"/>
    </row>
    <row r="244" spans="1:3" ht="15.75" customHeight="1" x14ac:dyDescent="0.25">
      <c r="A244" s="34"/>
      <c r="C244" s="34"/>
    </row>
    <row r="245" spans="1:3" ht="15.75" customHeight="1" x14ac:dyDescent="0.25">
      <c r="A245" s="34"/>
      <c r="C245" s="34"/>
    </row>
    <row r="246" spans="1:3" ht="15.75" customHeight="1" x14ac:dyDescent="0.25">
      <c r="A246" s="34"/>
      <c r="C246" s="34"/>
    </row>
    <row r="247" spans="1:3" ht="15.75" customHeight="1" x14ac:dyDescent="0.25">
      <c r="A247" s="34"/>
      <c r="C247" s="34"/>
    </row>
    <row r="248" spans="1:3" ht="15.75" customHeight="1" x14ac:dyDescent="0.25">
      <c r="A248" s="34"/>
      <c r="C248" s="34"/>
    </row>
    <row r="249" spans="1:3" ht="15.75" customHeight="1" x14ac:dyDescent="0.25">
      <c r="A249" s="34"/>
      <c r="C249" s="34"/>
    </row>
    <row r="250" spans="1:3" ht="15.75" customHeight="1" x14ac:dyDescent="0.25">
      <c r="A250" s="34"/>
      <c r="C250" s="34"/>
    </row>
    <row r="251" spans="1:3" ht="15.75" customHeight="1" x14ac:dyDescent="0.25">
      <c r="A251" s="34"/>
      <c r="C251" s="34"/>
    </row>
    <row r="252" spans="1:3" ht="15.75" customHeight="1" x14ac:dyDescent="0.25">
      <c r="A252" s="34"/>
      <c r="C252" s="34"/>
    </row>
    <row r="253" spans="1:3" ht="15.75" customHeight="1" x14ac:dyDescent="0.25">
      <c r="A253" s="34"/>
      <c r="C253" s="34"/>
    </row>
    <row r="254" spans="1:3" ht="15.75" customHeight="1" x14ac:dyDescent="0.25">
      <c r="A254" s="34"/>
      <c r="C254" s="34"/>
    </row>
    <row r="255" spans="1:3" ht="15.75" customHeight="1" x14ac:dyDescent="0.25">
      <c r="A255" s="34"/>
      <c r="C255" s="34"/>
    </row>
    <row r="256" spans="1:3" ht="15.75" customHeight="1" x14ac:dyDescent="0.25">
      <c r="A256" s="34"/>
      <c r="C256" s="34"/>
    </row>
    <row r="257" spans="1:3" ht="15.75" customHeight="1" x14ac:dyDescent="0.25">
      <c r="A257" s="34"/>
      <c r="C257" s="34"/>
    </row>
    <row r="258" spans="1:3" ht="15.75" customHeight="1" x14ac:dyDescent="0.25">
      <c r="A258" s="34"/>
      <c r="C258" s="34"/>
    </row>
    <row r="259" spans="1:3" ht="15.75" customHeight="1" x14ac:dyDescent="0.25">
      <c r="A259" s="34"/>
      <c r="C259" s="34"/>
    </row>
    <row r="260" spans="1:3" ht="15.75" customHeight="1" x14ac:dyDescent="0.25">
      <c r="A260" s="34"/>
      <c r="C260" s="34"/>
    </row>
    <row r="261" spans="1:3" ht="15.75" customHeight="1" x14ac:dyDescent="0.25">
      <c r="A261" s="34"/>
      <c r="C261" s="34"/>
    </row>
    <row r="262" spans="1:3" ht="15.75" customHeight="1" x14ac:dyDescent="0.25">
      <c r="A262" s="34"/>
      <c r="C262" s="34"/>
    </row>
    <row r="263" spans="1:3" ht="15.75" customHeight="1" x14ac:dyDescent="0.25">
      <c r="A263" s="34"/>
      <c r="C263" s="34"/>
    </row>
    <row r="264" spans="1:3" ht="15.75" customHeight="1" x14ac:dyDescent="0.25">
      <c r="A264" s="34"/>
      <c r="C264" s="34"/>
    </row>
    <row r="265" spans="1:3" ht="15.75" customHeight="1" x14ac:dyDescent="0.25">
      <c r="A265" s="34"/>
      <c r="C265" s="34"/>
    </row>
    <row r="266" spans="1:3" ht="15.75" customHeight="1" x14ac:dyDescent="0.25">
      <c r="A266" s="34"/>
      <c r="C266" s="34"/>
    </row>
    <row r="267" spans="1:3" ht="15.75" customHeight="1" x14ac:dyDescent="0.25">
      <c r="A267" s="34"/>
      <c r="C267" s="34"/>
    </row>
    <row r="268" spans="1:3" ht="15.75" customHeight="1" x14ac:dyDescent="0.25">
      <c r="A268" s="34"/>
      <c r="C268" s="34"/>
    </row>
    <row r="269" spans="1:3" ht="15.75" customHeight="1" x14ac:dyDescent="0.25">
      <c r="A269" s="34"/>
      <c r="C269" s="34"/>
    </row>
    <row r="270" spans="1:3" ht="15.75" customHeight="1" x14ac:dyDescent="0.25">
      <c r="A270" s="34"/>
      <c r="C270" s="34"/>
    </row>
    <row r="271" spans="1:3" ht="15.75" customHeight="1" x14ac:dyDescent="0.25">
      <c r="A271" s="34"/>
      <c r="C271" s="34"/>
    </row>
    <row r="272" spans="1:3" ht="15.75" customHeight="1" x14ac:dyDescent="0.25">
      <c r="A272" s="34"/>
      <c r="C272" s="34"/>
    </row>
    <row r="273" spans="1:3" ht="15.75" customHeight="1" x14ac:dyDescent="0.25">
      <c r="A273" s="34"/>
      <c r="C273" s="34"/>
    </row>
    <row r="274" spans="1:3" ht="15.75" customHeight="1" x14ac:dyDescent="0.25">
      <c r="A274" s="34"/>
      <c r="C274" s="34"/>
    </row>
    <row r="275" spans="1:3" ht="15.75" customHeight="1" x14ac:dyDescent="0.25">
      <c r="A275" s="34"/>
      <c r="C275" s="34"/>
    </row>
    <row r="276" spans="1:3" ht="15.75" customHeight="1" x14ac:dyDescent="0.25">
      <c r="A276" s="34"/>
      <c r="C276" s="34"/>
    </row>
    <row r="277" spans="1:3" ht="15.75" customHeight="1" x14ac:dyDescent="0.25">
      <c r="A277" s="34"/>
      <c r="C277" s="34"/>
    </row>
    <row r="278" spans="1:3" ht="15.75" customHeight="1" x14ac:dyDescent="0.25">
      <c r="A278" s="34"/>
      <c r="C278" s="34"/>
    </row>
    <row r="279" spans="1:3" ht="15.75" customHeight="1" x14ac:dyDescent="0.25">
      <c r="A279" s="34"/>
      <c r="C279" s="34"/>
    </row>
    <row r="280" spans="1:3" ht="15.75" customHeight="1" x14ac:dyDescent="0.25">
      <c r="A280" s="34"/>
      <c r="C280" s="34"/>
    </row>
    <row r="281" spans="1:3" ht="15.75" customHeight="1" x14ac:dyDescent="0.25">
      <c r="A281" s="34"/>
      <c r="C281" s="34"/>
    </row>
    <row r="282" spans="1:3" ht="15.75" customHeight="1" x14ac:dyDescent="0.25">
      <c r="A282" s="34"/>
      <c r="C282" s="34"/>
    </row>
    <row r="283" spans="1:3" ht="15.75" customHeight="1" x14ac:dyDescent="0.25">
      <c r="A283" s="34"/>
      <c r="C283" s="34"/>
    </row>
    <row r="284" spans="1:3" ht="15.75" customHeight="1" x14ac:dyDescent="0.25">
      <c r="A284" s="34"/>
      <c r="C284" s="34"/>
    </row>
    <row r="285" spans="1:3" ht="15.75" customHeight="1" x14ac:dyDescent="0.25">
      <c r="A285" s="34"/>
      <c r="C285" s="34"/>
    </row>
    <row r="286" spans="1:3" ht="15.75" customHeight="1" x14ac:dyDescent="0.25">
      <c r="A286" s="34"/>
      <c r="C286" s="34"/>
    </row>
    <row r="287" spans="1:3" ht="15.75" customHeight="1" x14ac:dyDescent="0.25">
      <c r="A287" s="34"/>
      <c r="C287" s="34"/>
    </row>
    <row r="288" spans="1:3" ht="15.75" customHeight="1" x14ac:dyDescent="0.25">
      <c r="A288" s="34"/>
      <c r="C288" s="34"/>
    </row>
    <row r="289" spans="1:3" ht="15.75" customHeight="1" x14ac:dyDescent="0.25">
      <c r="A289" s="34"/>
      <c r="C289" s="34"/>
    </row>
    <row r="290" spans="1:3" ht="15.75" customHeight="1" x14ac:dyDescent="0.25">
      <c r="A290" s="34"/>
      <c r="C290" s="34"/>
    </row>
    <row r="291" spans="1:3" ht="15.75" customHeight="1" x14ac:dyDescent="0.25">
      <c r="A291" s="34"/>
      <c r="C291" s="34"/>
    </row>
    <row r="292" spans="1:3" ht="15.75" customHeight="1" x14ac:dyDescent="0.25">
      <c r="A292" s="34"/>
      <c r="C292" s="34"/>
    </row>
    <row r="293" spans="1:3" ht="15.75" customHeight="1" x14ac:dyDescent="0.25">
      <c r="A293" s="34"/>
      <c r="C293" s="34"/>
    </row>
    <row r="294" spans="1:3" ht="15.75" customHeight="1" x14ac:dyDescent="0.25">
      <c r="A294" s="34"/>
      <c r="C294" s="34"/>
    </row>
    <row r="295" spans="1:3" ht="15.75" customHeight="1" x14ac:dyDescent="0.25">
      <c r="A295" s="34"/>
      <c r="C295" s="34"/>
    </row>
    <row r="296" spans="1:3" ht="15.75" customHeight="1" x14ac:dyDescent="0.25">
      <c r="A296" s="34"/>
      <c r="C296" s="34"/>
    </row>
    <row r="297" spans="1:3" ht="15.75" customHeight="1" x14ac:dyDescent="0.25">
      <c r="A297" s="34"/>
      <c r="C297" s="34"/>
    </row>
    <row r="298" spans="1:3" ht="15.75" customHeight="1" x14ac:dyDescent="0.25">
      <c r="A298" s="34"/>
      <c r="C298" s="34"/>
    </row>
    <row r="299" spans="1:3" ht="15.75" customHeight="1" x14ac:dyDescent="0.25">
      <c r="A299" s="34"/>
      <c r="C299" s="34"/>
    </row>
    <row r="300" spans="1:3" ht="15.75" customHeight="1" x14ac:dyDescent="0.25">
      <c r="A300" s="34"/>
      <c r="C300" s="34"/>
    </row>
    <row r="301" spans="1:3" ht="15.75" customHeight="1" x14ac:dyDescent="0.25">
      <c r="A301" s="34"/>
      <c r="C301" s="34"/>
    </row>
    <row r="302" spans="1:3" ht="15.75" customHeight="1" x14ac:dyDescent="0.25">
      <c r="A302" s="34"/>
      <c r="C302" s="34"/>
    </row>
    <row r="303" spans="1:3" ht="15.75" customHeight="1" x14ac:dyDescent="0.25">
      <c r="A303" s="34"/>
      <c r="C303" s="34"/>
    </row>
    <row r="304" spans="1:3" ht="15.75" customHeight="1" x14ac:dyDescent="0.25">
      <c r="A304" s="34"/>
      <c r="C304" s="34"/>
    </row>
    <row r="305" spans="1:3" ht="15.75" customHeight="1" x14ac:dyDescent="0.25">
      <c r="A305" s="34"/>
      <c r="C305" s="34"/>
    </row>
    <row r="306" spans="1:3" ht="15.75" customHeight="1" x14ac:dyDescent="0.25">
      <c r="A306" s="34"/>
      <c r="C306" s="34"/>
    </row>
    <row r="307" spans="1:3" ht="15.75" customHeight="1" x14ac:dyDescent="0.25">
      <c r="A307" s="34"/>
      <c r="C307" s="34"/>
    </row>
    <row r="308" spans="1:3" ht="15.75" customHeight="1" x14ac:dyDescent="0.25">
      <c r="A308" s="34"/>
      <c r="C308" s="34"/>
    </row>
    <row r="309" spans="1:3" ht="15.75" customHeight="1" x14ac:dyDescent="0.25">
      <c r="A309" s="34"/>
      <c r="C309" s="34"/>
    </row>
    <row r="310" spans="1:3" ht="15.75" customHeight="1" x14ac:dyDescent="0.25">
      <c r="A310" s="34"/>
      <c r="C310" s="34"/>
    </row>
    <row r="311" spans="1:3" ht="15.75" customHeight="1" x14ac:dyDescent="0.25">
      <c r="A311" s="34"/>
      <c r="C311" s="34"/>
    </row>
    <row r="312" spans="1:3" ht="15.75" customHeight="1" x14ac:dyDescent="0.25">
      <c r="A312" s="34"/>
      <c r="C312" s="34"/>
    </row>
    <row r="313" spans="1:3" ht="15.75" customHeight="1" x14ac:dyDescent="0.25">
      <c r="A313" s="34"/>
      <c r="C313" s="34"/>
    </row>
    <row r="314" spans="1:3" ht="15.75" customHeight="1" x14ac:dyDescent="0.25">
      <c r="A314" s="34"/>
      <c r="C314" s="34"/>
    </row>
    <row r="315" spans="1:3" ht="15.75" customHeight="1" x14ac:dyDescent="0.25">
      <c r="A315" s="34"/>
      <c r="C315" s="34"/>
    </row>
    <row r="316" spans="1:3" ht="15.75" customHeight="1" x14ac:dyDescent="0.25">
      <c r="A316" s="34"/>
      <c r="C316" s="34"/>
    </row>
    <row r="317" spans="1:3" ht="15.75" customHeight="1" x14ac:dyDescent="0.25">
      <c r="A317" s="34"/>
      <c r="C317" s="34"/>
    </row>
    <row r="318" spans="1:3" ht="15.75" customHeight="1" x14ac:dyDescent="0.25">
      <c r="A318" s="34"/>
      <c r="C318" s="34"/>
    </row>
    <row r="319" spans="1:3" ht="15.75" customHeight="1" x14ac:dyDescent="0.25">
      <c r="A319" s="34"/>
      <c r="C319" s="34"/>
    </row>
    <row r="320" spans="1:3" ht="15.75" customHeight="1" x14ac:dyDescent="0.25">
      <c r="A320" s="34"/>
      <c r="C320" s="34"/>
    </row>
    <row r="321" spans="1:3" ht="15.75" customHeight="1" x14ac:dyDescent="0.25">
      <c r="A321" s="34"/>
      <c r="C321" s="34"/>
    </row>
    <row r="322" spans="1:3" ht="15.75" customHeight="1" x14ac:dyDescent="0.25">
      <c r="A322" s="34"/>
      <c r="C322" s="34"/>
    </row>
    <row r="323" spans="1:3" ht="15.75" customHeight="1" x14ac:dyDescent="0.25">
      <c r="A323" s="34"/>
      <c r="C323" s="34"/>
    </row>
    <row r="324" spans="1:3" ht="15.75" customHeight="1" x14ac:dyDescent="0.25">
      <c r="A324" s="34"/>
      <c r="C324" s="34"/>
    </row>
    <row r="325" spans="1:3" ht="15.75" customHeight="1" x14ac:dyDescent="0.25">
      <c r="A325" s="34"/>
      <c r="C325" s="34"/>
    </row>
    <row r="326" spans="1:3" ht="15.75" customHeight="1" x14ac:dyDescent="0.25">
      <c r="A326" s="34"/>
      <c r="C326" s="34"/>
    </row>
    <row r="327" spans="1:3" ht="15.75" customHeight="1" x14ac:dyDescent="0.25">
      <c r="A327" s="34"/>
      <c r="C327" s="34"/>
    </row>
    <row r="328" spans="1:3" ht="15.75" customHeight="1" x14ac:dyDescent="0.25">
      <c r="A328" s="34"/>
      <c r="C328" s="34"/>
    </row>
    <row r="329" spans="1:3" ht="15.75" customHeight="1" x14ac:dyDescent="0.25">
      <c r="A329" s="34"/>
      <c r="C329" s="34"/>
    </row>
    <row r="330" spans="1:3" ht="15.75" customHeight="1" x14ac:dyDescent="0.25">
      <c r="A330" s="34"/>
      <c r="C330" s="34"/>
    </row>
    <row r="331" spans="1:3" ht="15.75" customHeight="1" x14ac:dyDescent="0.25">
      <c r="A331" s="34"/>
      <c r="C331" s="34"/>
    </row>
    <row r="332" spans="1:3" ht="15.75" customHeight="1" x14ac:dyDescent="0.25">
      <c r="A332" s="34"/>
      <c r="C332" s="34"/>
    </row>
    <row r="333" spans="1:3" ht="15.75" customHeight="1" x14ac:dyDescent="0.25">
      <c r="A333" s="34"/>
      <c r="C333" s="34"/>
    </row>
    <row r="334" spans="1:3" ht="15.75" customHeight="1" x14ac:dyDescent="0.25">
      <c r="A334" s="34"/>
      <c r="C334" s="34"/>
    </row>
    <row r="335" spans="1:3" ht="15.75" customHeight="1" x14ac:dyDescent="0.25">
      <c r="A335" s="34"/>
      <c r="C335" s="34"/>
    </row>
    <row r="336" spans="1:3" ht="15.75" customHeight="1" x14ac:dyDescent="0.25">
      <c r="A336" s="34"/>
      <c r="C336" s="34"/>
    </row>
    <row r="337" spans="1:3" ht="15.75" customHeight="1" x14ac:dyDescent="0.25">
      <c r="A337" s="34"/>
      <c r="C337" s="34"/>
    </row>
    <row r="338" spans="1:3" ht="15.75" customHeight="1" x14ac:dyDescent="0.25">
      <c r="A338" s="34"/>
      <c r="C338" s="34"/>
    </row>
    <row r="339" spans="1:3" ht="15.75" customHeight="1" x14ac:dyDescent="0.25">
      <c r="A339" s="34"/>
      <c r="C339" s="34"/>
    </row>
    <row r="340" spans="1:3" ht="15.75" customHeight="1" x14ac:dyDescent="0.25">
      <c r="A340" s="34"/>
      <c r="C340" s="34"/>
    </row>
    <row r="341" spans="1:3" ht="15.75" customHeight="1" x14ac:dyDescent="0.25">
      <c r="A341" s="34"/>
      <c r="C341" s="34"/>
    </row>
    <row r="342" spans="1:3" ht="15.75" customHeight="1" x14ac:dyDescent="0.25">
      <c r="A342" s="34"/>
      <c r="C342" s="34"/>
    </row>
    <row r="343" spans="1:3" ht="15.75" customHeight="1" x14ac:dyDescent="0.25">
      <c r="A343" s="34"/>
      <c r="C343" s="34"/>
    </row>
    <row r="344" spans="1:3" ht="15.75" customHeight="1" x14ac:dyDescent="0.25">
      <c r="A344" s="34"/>
      <c r="C344" s="34"/>
    </row>
    <row r="345" spans="1:3" ht="15.75" customHeight="1" x14ac:dyDescent="0.25">
      <c r="A345" s="34"/>
      <c r="C345" s="34"/>
    </row>
    <row r="346" spans="1:3" ht="15.75" customHeight="1" x14ac:dyDescent="0.25">
      <c r="A346" s="34"/>
      <c r="C346" s="34"/>
    </row>
    <row r="347" spans="1:3" ht="15.75" customHeight="1" x14ac:dyDescent="0.25">
      <c r="A347" s="34"/>
      <c r="C347" s="34"/>
    </row>
    <row r="348" spans="1:3" ht="15.75" customHeight="1" x14ac:dyDescent="0.25">
      <c r="A348" s="34"/>
      <c r="C348" s="34"/>
    </row>
    <row r="349" spans="1:3" ht="15.75" customHeight="1" x14ac:dyDescent="0.25">
      <c r="A349" s="34"/>
      <c r="C349" s="34"/>
    </row>
    <row r="350" spans="1:3" ht="15.75" customHeight="1" x14ac:dyDescent="0.25">
      <c r="A350" s="34"/>
      <c r="C350" s="34"/>
    </row>
    <row r="351" spans="1:3" ht="15.75" customHeight="1" x14ac:dyDescent="0.25">
      <c r="A351" s="34"/>
      <c r="C351" s="34"/>
    </row>
    <row r="352" spans="1:3" ht="15.75" customHeight="1" x14ac:dyDescent="0.25">
      <c r="A352" s="34"/>
      <c r="C352" s="34"/>
    </row>
    <row r="353" spans="1:3" ht="15.75" customHeight="1" x14ac:dyDescent="0.25">
      <c r="A353" s="34"/>
      <c r="C353" s="34"/>
    </row>
    <row r="354" spans="1:3" ht="15.75" customHeight="1" x14ac:dyDescent="0.25">
      <c r="A354" s="34"/>
      <c r="C354" s="34"/>
    </row>
    <row r="355" spans="1:3" ht="15.75" customHeight="1" x14ac:dyDescent="0.25">
      <c r="A355" s="34"/>
      <c r="C355" s="34"/>
    </row>
    <row r="356" spans="1:3" ht="15.75" customHeight="1" x14ac:dyDescent="0.25">
      <c r="A356" s="34"/>
      <c r="C356" s="34"/>
    </row>
    <row r="357" spans="1:3" ht="15.75" customHeight="1" x14ac:dyDescent="0.25">
      <c r="A357" s="34"/>
      <c r="C357" s="34"/>
    </row>
    <row r="358" spans="1:3" ht="15.75" customHeight="1" x14ac:dyDescent="0.25">
      <c r="A358" s="34"/>
      <c r="C358" s="34"/>
    </row>
    <row r="359" spans="1:3" ht="15.75" customHeight="1" x14ac:dyDescent="0.25">
      <c r="A359" s="34"/>
      <c r="C359" s="34"/>
    </row>
    <row r="360" spans="1:3" ht="15.75" customHeight="1" x14ac:dyDescent="0.25">
      <c r="A360" s="34"/>
      <c r="C360" s="34"/>
    </row>
    <row r="361" spans="1:3" ht="15.75" customHeight="1" x14ac:dyDescent="0.25">
      <c r="A361" s="34"/>
      <c r="C361" s="34"/>
    </row>
    <row r="362" spans="1:3" ht="15.75" customHeight="1" x14ac:dyDescent="0.25">
      <c r="A362" s="34"/>
      <c r="C362" s="34"/>
    </row>
    <row r="363" spans="1:3" ht="15.75" customHeight="1" x14ac:dyDescent="0.25">
      <c r="A363" s="34"/>
      <c r="C363" s="34"/>
    </row>
    <row r="364" spans="1:3" ht="15.75" customHeight="1" x14ac:dyDescent="0.25">
      <c r="A364" s="34"/>
      <c r="C364" s="34"/>
    </row>
    <row r="365" spans="1:3" ht="15.75" customHeight="1" x14ac:dyDescent="0.25">
      <c r="A365" s="34"/>
      <c r="C365" s="34"/>
    </row>
    <row r="366" spans="1:3" ht="15.75" customHeight="1" x14ac:dyDescent="0.25">
      <c r="A366" s="34"/>
      <c r="C366" s="34"/>
    </row>
    <row r="367" spans="1:3" ht="15.75" customHeight="1" x14ac:dyDescent="0.25">
      <c r="A367" s="34"/>
      <c r="C367" s="34"/>
    </row>
    <row r="368" spans="1:3" ht="15.75" customHeight="1" x14ac:dyDescent="0.25">
      <c r="A368" s="34"/>
      <c r="C368" s="34"/>
    </row>
    <row r="369" spans="1:3" ht="15.75" customHeight="1" x14ac:dyDescent="0.25">
      <c r="A369" s="34"/>
      <c r="C369" s="34"/>
    </row>
    <row r="370" spans="1:3" ht="15.75" customHeight="1" x14ac:dyDescent="0.25">
      <c r="A370" s="34"/>
      <c r="C370" s="34"/>
    </row>
    <row r="371" spans="1:3" ht="15.75" customHeight="1" x14ac:dyDescent="0.25">
      <c r="A371" s="34"/>
      <c r="C371" s="34"/>
    </row>
    <row r="372" spans="1:3" ht="15.75" customHeight="1" x14ac:dyDescent="0.25">
      <c r="A372" s="34"/>
      <c r="C372" s="34"/>
    </row>
    <row r="373" spans="1:3" ht="15.75" customHeight="1" x14ac:dyDescent="0.25">
      <c r="A373" s="34"/>
      <c r="C373" s="34"/>
    </row>
    <row r="374" spans="1:3" ht="15.75" customHeight="1" x14ac:dyDescent="0.25">
      <c r="A374" s="34"/>
      <c r="C374" s="34"/>
    </row>
    <row r="375" spans="1:3" ht="15.75" customHeight="1" x14ac:dyDescent="0.25">
      <c r="A375" s="34"/>
      <c r="C375" s="34"/>
    </row>
    <row r="376" spans="1:3" ht="15.75" customHeight="1" x14ac:dyDescent="0.25">
      <c r="A376" s="34"/>
      <c r="C376" s="34"/>
    </row>
    <row r="377" spans="1:3" ht="15.75" customHeight="1" x14ac:dyDescent="0.25">
      <c r="A377" s="34"/>
      <c r="C377" s="34"/>
    </row>
    <row r="378" spans="1:3" ht="15.75" customHeight="1" x14ac:dyDescent="0.25">
      <c r="A378" s="34"/>
      <c r="C378" s="34"/>
    </row>
    <row r="379" spans="1:3" ht="15.75" customHeight="1" x14ac:dyDescent="0.25">
      <c r="A379" s="34"/>
      <c r="C379" s="34"/>
    </row>
    <row r="380" spans="1:3" ht="15.75" customHeight="1" x14ac:dyDescent="0.25">
      <c r="A380" s="34"/>
      <c r="C380" s="34"/>
    </row>
    <row r="381" spans="1:3" ht="15.75" customHeight="1" x14ac:dyDescent="0.25">
      <c r="A381" s="34"/>
      <c r="C381" s="34"/>
    </row>
    <row r="382" spans="1:3" ht="15.75" customHeight="1" x14ac:dyDescent="0.25">
      <c r="A382" s="34"/>
      <c r="C382" s="34"/>
    </row>
    <row r="383" spans="1:3" ht="15.75" customHeight="1" x14ac:dyDescent="0.25">
      <c r="A383" s="34"/>
      <c r="C383" s="34"/>
    </row>
    <row r="384" spans="1:3" ht="15.75" customHeight="1" x14ac:dyDescent="0.25">
      <c r="A384" s="34"/>
      <c r="C384" s="34"/>
    </row>
    <row r="385" spans="1:3" ht="15.75" customHeight="1" x14ac:dyDescent="0.25">
      <c r="A385" s="34"/>
      <c r="C385" s="34"/>
    </row>
    <row r="386" spans="1:3" ht="15.75" customHeight="1" x14ac:dyDescent="0.25">
      <c r="A386" s="34"/>
      <c r="C386" s="34"/>
    </row>
    <row r="387" spans="1:3" ht="15.75" customHeight="1" x14ac:dyDescent="0.25">
      <c r="A387" s="34"/>
      <c r="C387" s="34"/>
    </row>
    <row r="388" spans="1:3" ht="15.75" customHeight="1" x14ac:dyDescent="0.25">
      <c r="A388" s="34"/>
      <c r="C388" s="34"/>
    </row>
    <row r="389" spans="1:3" ht="15.75" customHeight="1" x14ac:dyDescent="0.25">
      <c r="A389" s="34"/>
      <c r="C389" s="34"/>
    </row>
    <row r="390" spans="1:3" ht="15.75" customHeight="1" x14ac:dyDescent="0.25">
      <c r="A390" s="34"/>
      <c r="C390" s="34"/>
    </row>
    <row r="391" spans="1:3" ht="15.75" customHeight="1" x14ac:dyDescent="0.25">
      <c r="A391" s="34"/>
      <c r="C391" s="34"/>
    </row>
    <row r="392" spans="1:3" ht="15.75" customHeight="1" x14ac:dyDescent="0.25">
      <c r="A392" s="34"/>
      <c r="C392" s="34"/>
    </row>
    <row r="393" spans="1:3" ht="15.75" customHeight="1" x14ac:dyDescent="0.25">
      <c r="A393" s="34"/>
      <c r="C393" s="34"/>
    </row>
    <row r="394" spans="1:3" ht="15.75" customHeight="1" x14ac:dyDescent="0.25">
      <c r="A394" s="34"/>
      <c r="C394" s="34"/>
    </row>
    <row r="395" spans="1:3" ht="15.75" customHeight="1" x14ac:dyDescent="0.25">
      <c r="A395" s="34"/>
      <c r="C395" s="34"/>
    </row>
    <row r="396" spans="1:3" ht="15.75" customHeight="1" x14ac:dyDescent="0.25">
      <c r="A396" s="34"/>
      <c r="C396" s="34"/>
    </row>
    <row r="397" spans="1:3" ht="15.75" customHeight="1" x14ac:dyDescent="0.25">
      <c r="A397" s="34"/>
      <c r="C397" s="34"/>
    </row>
    <row r="398" spans="1:3" ht="15.75" customHeight="1" x14ac:dyDescent="0.25">
      <c r="A398" s="34"/>
      <c r="C398" s="34"/>
    </row>
    <row r="399" spans="1:3" ht="15.75" customHeight="1" x14ac:dyDescent="0.25">
      <c r="A399" s="34"/>
      <c r="C399" s="34"/>
    </row>
    <row r="400" spans="1:3" ht="15.75" customHeight="1" x14ac:dyDescent="0.25">
      <c r="A400" s="34"/>
      <c r="C400" s="34"/>
    </row>
    <row r="401" spans="1:3" ht="15.75" customHeight="1" x14ac:dyDescent="0.25">
      <c r="A401" s="34"/>
      <c r="C401" s="34"/>
    </row>
    <row r="402" spans="1:3" ht="15.75" customHeight="1" x14ac:dyDescent="0.25">
      <c r="A402" s="34"/>
      <c r="C402" s="34"/>
    </row>
    <row r="403" spans="1:3" ht="15.75" customHeight="1" x14ac:dyDescent="0.25">
      <c r="A403" s="34"/>
      <c r="C403" s="34"/>
    </row>
    <row r="404" spans="1:3" ht="15.75" customHeight="1" x14ac:dyDescent="0.25">
      <c r="A404" s="34"/>
      <c r="C404" s="34"/>
    </row>
    <row r="405" spans="1:3" ht="15.75" customHeight="1" x14ac:dyDescent="0.25">
      <c r="A405" s="34"/>
      <c r="C405" s="34"/>
    </row>
    <row r="406" spans="1:3" ht="15.75" customHeight="1" x14ac:dyDescent="0.25">
      <c r="A406" s="34"/>
      <c r="C406" s="34"/>
    </row>
    <row r="407" spans="1:3" ht="15.75" customHeight="1" x14ac:dyDescent="0.25">
      <c r="A407" s="34"/>
      <c r="C407" s="34"/>
    </row>
    <row r="408" spans="1:3" ht="15.75" customHeight="1" x14ac:dyDescent="0.25">
      <c r="A408" s="34"/>
      <c r="C408" s="34"/>
    </row>
    <row r="409" spans="1:3" ht="15.75" customHeight="1" x14ac:dyDescent="0.25">
      <c r="A409" s="34"/>
      <c r="C409" s="34"/>
    </row>
    <row r="410" spans="1:3" ht="15.75" customHeight="1" x14ac:dyDescent="0.25">
      <c r="A410" s="34"/>
      <c r="C410" s="34"/>
    </row>
    <row r="411" spans="1:3" ht="15.75" customHeight="1" x14ac:dyDescent="0.25">
      <c r="A411" s="34"/>
      <c r="C411" s="34"/>
    </row>
    <row r="412" spans="1:3" ht="15.75" customHeight="1" x14ac:dyDescent="0.25">
      <c r="A412" s="34"/>
      <c r="C412" s="34"/>
    </row>
    <row r="413" spans="1:3" ht="15.75" customHeight="1" x14ac:dyDescent="0.25">
      <c r="A413" s="34"/>
      <c r="C413" s="34"/>
    </row>
    <row r="414" spans="1:3" ht="15.75" customHeight="1" x14ac:dyDescent="0.25">
      <c r="A414" s="34"/>
      <c r="C414" s="34"/>
    </row>
    <row r="415" spans="1:3" ht="15.75" customHeight="1" x14ac:dyDescent="0.25">
      <c r="A415" s="34"/>
      <c r="C415" s="34"/>
    </row>
    <row r="416" spans="1:3" ht="15.75" customHeight="1" x14ac:dyDescent="0.25">
      <c r="A416" s="34"/>
      <c r="C416" s="34"/>
    </row>
    <row r="417" spans="1:3" ht="15.75" customHeight="1" x14ac:dyDescent="0.25">
      <c r="A417" s="34"/>
      <c r="C417" s="34"/>
    </row>
    <row r="418" spans="1:3" ht="15.75" customHeight="1" x14ac:dyDescent="0.25">
      <c r="A418" s="34"/>
      <c r="C418" s="34"/>
    </row>
    <row r="419" spans="1:3" ht="15.75" customHeight="1" x14ac:dyDescent="0.25">
      <c r="A419" s="34"/>
      <c r="C419" s="34"/>
    </row>
    <row r="420" spans="1:3" ht="15.75" customHeight="1" x14ac:dyDescent="0.25">
      <c r="A420" s="34"/>
      <c r="C420" s="34"/>
    </row>
    <row r="421" spans="1:3" ht="15.75" customHeight="1" x14ac:dyDescent="0.25">
      <c r="A421" s="34"/>
      <c r="C421" s="34"/>
    </row>
    <row r="422" spans="1:3" ht="15.75" customHeight="1" x14ac:dyDescent="0.25">
      <c r="A422" s="34"/>
      <c r="C422" s="34"/>
    </row>
    <row r="423" spans="1:3" ht="15.75" customHeight="1" x14ac:dyDescent="0.25">
      <c r="A423" s="34"/>
      <c r="C423" s="34"/>
    </row>
    <row r="424" spans="1:3" ht="15.75" customHeight="1" x14ac:dyDescent="0.25">
      <c r="A424" s="34"/>
      <c r="C424" s="34"/>
    </row>
    <row r="425" spans="1:3" ht="15.75" customHeight="1" x14ac:dyDescent="0.25">
      <c r="A425" s="34"/>
      <c r="C425" s="34"/>
    </row>
    <row r="426" spans="1:3" ht="15.75" customHeight="1" x14ac:dyDescent="0.25">
      <c r="A426" s="34"/>
      <c r="C426" s="34"/>
    </row>
    <row r="427" spans="1:3" ht="15.75" customHeight="1" x14ac:dyDescent="0.25">
      <c r="A427" s="34"/>
      <c r="C427" s="34"/>
    </row>
    <row r="428" spans="1:3" ht="15.75" customHeight="1" x14ac:dyDescent="0.25">
      <c r="A428" s="34"/>
      <c r="C428" s="34"/>
    </row>
    <row r="429" spans="1:3" ht="15.75" customHeight="1" x14ac:dyDescent="0.25">
      <c r="A429" s="34"/>
      <c r="C429" s="34"/>
    </row>
    <row r="430" spans="1:3" ht="15.75" customHeight="1" x14ac:dyDescent="0.25">
      <c r="A430" s="34"/>
      <c r="C430" s="34"/>
    </row>
    <row r="431" spans="1:3" ht="15.75" customHeight="1" x14ac:dyDescent="0.25">
      <c r="A431" s="34"/>
      <c r="C431" s="34"/>
    </row>
    <row r="432" spans="1:3" ht="15.75" customHeight="1" x14ac:dyDescent="0.25">
      <c r="A432" s="34"/>
      <c r="C432" s="34"/>
    </row>
    <row r="433" spans="1:3" ht="15.75" customHeight="1" x14ac:dyDescent="0.25">
      <c r="A433" s="34"/>
      <c r="C433" s="34"/>
    </row>
    <row r="434" spans="1:3" ht="15.75" customHeight="1" x14ac:dyDescent="0.25">
      <c r="A434" s="34"/>
      <c r="C434" s="34"/>
    </row>
    <row r="435" spans="1:3" ht="15.75" customHeight="1" x14ac:dyDescent="0.25">
      <c r="A435" s="34"/>
      <c r="C435" s="34"/>
    </row>
    <row r="436" spans="1:3" ht="15.75" customHeight="1" x14ac:dyDescent="0.25">
      <c r="A436" s="34"/>
      <c r="C436" s="34"/>
    </row>
    <row r="437" spans="1:3" ht="15.75" customHeight="1" x14ac:dyDescent="0.25">
      <c r="A437" s="34"/>
      <c r="C437" s="34"/>
    </row>
    <row r="438" spans="1:3" ht="15.75" customHeight="1" x14ac:dyDescent="0.25">
      <c r="A438" s="34"/>
      <c r="C438" s="34"/>
    </row>
    <row r="439" spans="1:3" ht="15.75" customHeight="1" x14ac:dyDescent="0.25">
      <c r="A439" s="34"/>
      <c r="C439" s="34"/>
    </row>
    <row r="440" spans="1:3" ht="15.75" customHeight="1" x14ac:dyDescent="0.25">
      <c r="A440" s="34"/>
      <c r="C440" s="34"/>
    </row>
    <row r="441" spans="1:3" ht="15.75" customHeight="1" x14ac:dyDescent="0.25">
      <c r="A441" s="34"/>
      <c r="C441" s="34"/>
    </row>
    <row r="442" spans="1:3" ht="15.75" customHeight="1" x14ac:dyDescent="0.25">
      <c r="A442" s="34"/>
      <c r="C442" s="34"/>
    </row>
    <row r="443" spans="1:3" ht="15.75" customHeight="1" x14ac:dyDescent="0.25">
      <c r="A443" s="34"/>
      <c r="C443" s="34"/>
    </row>
    <row r="444" spans="1:3" ht="15.75" customHeight="1" x14ac:dyDescent="0.25">
      <c r="A444" s="34"/>
      <c r="C444" s="34"/>
    </row>
    <row r="445" spans="1:3" ht="15.75" customHeight="1" x14ac:dyDescent="0.25">
      <c r="A445" s="34"/>
      <c r="C445" s="34"/>
    </row>
    <row r="446" spans="1:3" ht="15.75" customHeight="1" x14ac:dyDescent="0.25">
      <c r="A446" s="34"/>
      <c r="C446" s="34"/>
    </row>
    <row r="447" spans="1:3" ht="15.75" customHeight="1" x14ac:dyDescent="0.25">
      <c r="A447" s="34"/>
      <c r="C447" s="34"/>
    </row>
    <row r="448" spans="1:3" ht="15.75" customHeight="1" x14ac:dyDescent="0.25">
      <c r="A448" s="34"/>
      <c r="C448" s="34"/>
    </row>
    <row r="449" spans="1:3" ht="15.75" customHeight="1" x14ac:dyDescent="0.25">
      <c r="A449" s="34"/>
      <c r="C449" s="34"/>
    </row>
    <row r="450" spans="1:3" ht="15.75" customHeight="1" x14ac:dyDescent="0.25">
      <c r="A450" s="34"/>
      <c r="C450" s="34"/>
    </row>
    <row r="451" spans="1:3" ht="15.75" customHeight="1" x14ac:dyDescent="0.25">
      <c r="A451" s="34"/>
      <c r="C451" s="34"/>
    </row>
    <row r="452" spans="1:3" ht="15.75" customHeight="1" x14ac:dyDescent="0.25">
      <c r="A452" s="34"/>
      <c r="C452" s="34"/>
    </row>
    <row r="453" spans="1:3" ht="15.75" customHeight="1" x14ac:dyDescent="0.25">
      <c r="A453" s="34"/>
      <c r="C453" s="34"/>
    </row>
    <row r="454" spans="1:3" ht="15.75" customHeight="1" x14ac:dyDescent="0.25">
      <c r="A454" s="34"/>
      <c r="C454" s="34"/>
    </row>
    <row r="455" spans="1:3" ht="15.75" customHeight="1" x14ac:dyDescent="0.25">
      <c r="A455" s="34"/>
      <c r="C455" s="34"/>
    </row>
    <row r="456" spans="1:3" ht="15.75" customHeight="1" x14ac:dyDescent="0.25">
      <c r="A456" s="34"/>
      <c r="C456" s="34"/>
    </row>
    <row r="457" spans="1:3" ht="15.75" customHeight="1" x14ac:dyDescent="0.25">
      <c r="A457" s="34"/>
      <c r="C457" s="34"/>
    </row>
    <row r="458" spans="1:3" ht="15.75" customHeight="1" x14ac:dyDescent="0.25">
      <c r="A458" s="34"/>
      <c r="C458" s="34"/>
    </row>
    <row r="459" spans="1:3" ht="15.75" customHeight="1" x14ac:dyDescent="0.25">
      <c r="A459" s="34"/>
      <c r="C459" s="34"/>
    </row>
    <row r="460" spans="1:3" ht="15.75" customHeight="1" x14ac:dyDescent="0.25">
      <c r="A460" s="34"/>
      <c r="C460" s="34"/>
    </row>
    <row r="461" spans="1:3" ht="15.75" customHeight="1" x14ac:dyDescent="0.25">
      <c r="A461" s="34"/>
      <c r="C461" s="34"/>
    </row>
    <row r="462" spans="1:3" ht="15.75" customHeight="1" x14ac:dyDescent="0.25">
      <c r="A462" s="34"/>
      <c r="C462" s="34"/>
    </row>
    <row r="463" spans="1:3" ht="15.75" customHeight="1" x14ac:dyDescent="0.25">
      <c r="A463" s="34"/>
      <c r="C463" s="34"/>
    </row>
    <row r="464" spans="1:3" ht="15.75" customHeight="1" x14ac:dyDescent="0.25">
      <c r="A464" s="34"/>
      <c r="C464" s="34"/>
    </row>
    <row r="465" spans="1:3" ht="15.75" customHeight="1" x14ac:dyDescent="0.25">
      <c r="A465" s="34"/>
      <c r="C465" s="34"/>
    </row>
    <row r="466" spans="1:3" ht="15.75" customHeight="1" x14ac:dyDescent="0.25">
      <c r="A466" s="34"/>
      <c r="C466" s="34"/>
    </row>
    <row r="467" spans="1:3" ht="15.75" customHeight="1" x14ac:dyDescent="0.25">
      <c r="A467" s="34"/>
      <c r="C467" s="34"/>
    </row>
    <row r="468" spans="1:3" ht="15.75" customHeight="1" x14ac:dyDescent="0.25">
      <c r="A468" s="34"/>
      <c r="C468" s="34"/>
    </row>
    <row r="469" spans="1:3" ht="15.75" customHeight="1" x14ac:dyDescent="0.25">
      <c r="A469" s="34"/>
      <c r="C469" s="34"/>
    </row>
    <row r="470" spans="1:3" ht="15.75" customHeight="1" x14ac:dyDescent="0.25">
      <c r="A470" s="34"/>
      <c r="C470" s="34"/>
    </row>
    <row r="471" spans="1:3" ht="15.75" customHeight="1" x14ac:dyDescent="0.25">
      <c r="A471" s="34"/>
      <c r="C471" s="34"/>
    </row>
    <row r="472" spans="1:3" ht="15.75" customHeight="1" x14ac:dyDescent="0.25">
      <c r="A472" s="34"/>
      <c r="C472" s="34"/>
    </row>
    <row r="473" spans="1:3" ht="15.75" customHeight="1" x14ac:dyDescent="0.25">
      <c r="A473" s="34"/>
      <c r="C473" s="34"/>
    </row>
    <row r="474" spans="1:3" ht="15.75" customHeight="1" x14ac:dyDescent="0.25">
      <c r="A474" s="34"/>
      <c r="C474" s="34"/>
    </row>
    <row r="475" spans="1:3" ht="15.75" customHeight="1" x14ac:dyDescent="0.25">
      <c r="A475" s="34"/>
      <c r="C475" s="34"/>
    </row>
    <row r="476" spans="1:3" ht="15.75" customHeight="1" x14ac:dyDescent="0.25">
      <c r="A476" s="34"/>
      <c r="C476" s="34"/>
    </row>
    <row r="477" spans="1:3" ht="15.75" customHeight="1" x14ac:dyDescent="0.25">
      <c r="A477" s="34"/>
      <c r="C477" s="34"/>
    </row>
    <row r="478" spans="1:3" ht="15.75" customHeight="1" x14ac:dyDescent="0.25">
      <c r="A478" s="34"/>
      <c r="C478" s="34"/>
    </row>
    <row r="479" spans="1:3" ht="15.75" customHeight="1" x14ac:dyDescent="0.25">
      <c r="A479" s="34"/>
      <c r="C479" s="34"/>
    </row>
    <row r="480" spans="1:3" ht="15.75" customHeight="1" x14ac:dyDescent="0.25">
      <c r="A480" s="34"/>
      <c r="C480" s="34"/>
    </row>
    <row r="481" spans="1:3" ht="15.75" customHeight="1" x14ac:dyDescent="0.25">
      <c r="A481" s="34"/>
      <c r="C481" s="34"/>
    </row>
    <row r="482" spans="1:3" ht="15.75" customHeight="1" x14ac:dyDescent="0.25">
      <c r="A482" s="34"/>
      <c r="C482" s="34"/>
    </row>
    <row r="483" spans="1:3" ht="15.75" customHeight="1" x14ac:dyDescent="0.25">
      <c r="A483" s="34"/>
      <c r="C483" s="34"/>
    </row>
    <row r="484" spans="1:3" ht="15.75" customHeight="1" x14ac:dyDescent="0.25">
      <c r="A484" s="34"/>
      <c r="C484" s="34"/>
    </row>
    <row r="485" spans="1:3" ht="15.75" customHeight="1" x14ac:dyDescent="0.25">
      <c r="A485" s="34"/>
      <c r="C485" s="34"/>
    </row>
    <row r="486" spans="1:3" ht="15.75" customHeight="1" x14ac:dyDescent="0.25">
      <c r="A486" s="34"/>
      <c r="C486" s="34"/>
    </row>
    <row r="487" spans="1:3" ht="15.75" customHeight="1" x14ac:dyDescent="0.25">
      <c r="A487" s="34"/>
      <c r="C487" s="34"/>
    </row>
    <row r="488" spans="1:3" ht="15.75" customHeight="1" x14ac:dyDescent="0.25">
      <c r="A488" s="34"/>
      <c r="C488" s="34"/>
    </row>
    <row r="489" spans="1:3" ht="15.75" customHeight="1" x14ac:dyDescent="0.25">
      <c r="A489" s="34"/>
      <c r="C489" s="34"/>
    </row>
    <row r="490" spans="1:3" ht="15.75" customHeight="1" x14ac:dyDescent="0.25">
      <c r="A490" s="34"/>
      <c r="C490" s="34"/>
    </row>
    <row r="491" spans="1:3" ht="15.75" customHeight="1" x14ac:dyDescent="0.25">
      <c r="A491" s="34"/>
      <c r="C491" s="34"/>
    </row>
    <row r="492" spans="1:3" ht="15.75" customHeight="1" x14ac:dyDescent="0.25">
      <c r="A492" s="34"/>
      <c r="C492" s="34"/>
    </row>
    <row r="493" spans="1:3" ht="15.75" customHeight="1" x14ac:dyDescent="0.25">
      <c r="A493" s="34"/>
      <c r="C493" s="34"/>
    </row>
    <row r="494" spans="1:3" ht="15.75" customHeight="1" x14ac:dyDescent="0.25">
      <c r="A494" s="34"/>
      <c r="C494" s="34"/>
    </row>
    <row r="495" spans="1:3" ht="15.75" customHeight="1" x14ac:dyDescent="0.25">
      <c r="A495" s="34"/>
      <c r="C495" s="34"/>
    </row>
    <row r="496" spans="1:3" ht="15.75" customHeight="1" x14ac:dyDescent="0.25">
      <c r="A496" s="34"/>
      <c r="C496" s="34"/>
    </row>
    <row r="497" spans="1:3" ht="15.75" customHeight="1" x14ac:dyDescent="0.25">
      <c r="A497" s="34"/>
      <c r="C497" s="34"/>
    </row>
    <row r="498" spans="1:3" ht="15.75" customHeight="1" x14ac:dyDescent="0.25">
      <c r="A498" s="34"/>
      <c r="C498" s="34"/>
    </row>
    <row r="499" spans="1:3" ht="15.75" customHeight="1" x14ac:dyDescent="0.25">
      <c r="A499" s="34"/>
      <c r="C499" s="34"/>
    </row>
    <row r="500" spans="1:3" ht="15.75" customHeight="1" x14ac:dyDescent="0.25">
      <c r="A500" s="34"/>
      <c r="C500" s="34"/>
    </row>
    <row r="501" spans="1:3" ht="15.75" customHeight="1" x14ac:dyDescent="0.25">
      <c r="A501" s="34"/>
      <c r="C501" s="34"/>
    </row>
    <row r="502" spans="1:3" ht="15.75" customHeight="1" x14ac:dyDescent="0.25">
      <c r="A502" s="34"/>
      <c r="C502" s="34"/>
    </row>
    <row r="503" spans="1:3" ht="15.75" customHeight="1" x14ac:dyDescent="0.25">
      <c r="A503" s="34"/>
      <c r="C503" s="34"/>
    </row>
    <row r="504" spans="1:3" ht="15.75" customHeight="1" x14ac:dyDescent="0.25">
      <c r="A504" s="34"/>
      <c r="C504" s="34"/>
    </row>
    <row r="505" spans="1:3" ht="15.75" customHeight="1" x14ac:dyDescent="0.25">
      <c r="A505" s="34"/>
      <c r="C505" s="34"/>
    </row>
    <row r="506" spans="1:3" ht="15.75" customHeight="1" x14ac:dyDescent="0.25">
      <c r="A506" s="34"/>
      <c r="C506" s="34"/>
    </row>
    <row r="507" spans="1:3" ht="15.75" customHeight="1" x14ac:dyDescent="0.25">
      <c r="A507" s="34"/>
      <c r="C507" s="34"/>
    </row>
    <row r="508" spans="1:3" ht="15.75" customHeight="1" x14ac:dyDescent="0.25">
      <c r="A508" s="34"/>
      <c r="C508" s="34"/>
    </row>
    <row r="509" spans="1:3" ht="15.75" customHeight="1" x14ac:dyDescent="0.25">
      <c r="A509" s="34"/>
      <c r="C509" s="34"/>
    </row>
    <row r="510" spans="1:3" ht="15.75" customHeight="1" x14ac:dyDescent="0.25">
      <c r="A510" s="34"/>
      <c r="C510" s="34"/>
    </row>
    <row r="511" spans="1:3" ht="15.75" customHeight="1" x14ac:dyDescent="0.25">
      <c r="A511" s="34"/>
      <c r="C511" s="34"/>
    </row>
    <row r="512" spans="1:3" ht="15.75" customHeight="1" x14ac:dyDescent="0.25">
      <c r="A512" s="34"/>
      <c r="C512" s="34"/>
    </row>
    <row r="513" spans="1:3" ht="15.75" customHeight="1" x14ac:dyDescent="0.25">
      <c r="A513" s="34"/>
      <c r="C513" s="34"/>
    </row>
    <row r="514" spans="1:3" ht="15.75" customHeight="1" x14ac:dyDescent="0.25">
      <c r="A514" s="34"/>
      <c r="C514" s="34"/>
    </row>
    <row r="515" spans="1:3" ht="15.75" customHeight="1" x14ac:dyDescent="0.25">
      <c r="A515" s="34"/>
      <c r="C515" s="34"/>
    </row>
    <row r="516" spans="1:3" ht="15.75" customHeight="1" x14ac:dyDescent="0.25">
      <c r="A516" s="34"/>
      <c r="C516" s="34"/>
    </row>
    <row r="517" spans="1:3" ht="15.75" customHeight="1" x14ac:dyDescent="0.25">
      <c r="A517" s="34"/>
      <c r="C517" s="34"/>
    </row>
    <row r="518" spans="1:3" ht="15.75" customHeight="1" x14ac:dyDescent="0.25">
      <c r="A518" s="34"/>
      <c r="C518" s="34"/>
    </row>
    <row r="519" spans="1:3" ht="15.75" customHeight="1" x14ac:dyDescent="0.25">
      <c r="A519" s="34"/>
      <c r="C519" s="34"/>
    </row>
    <row r="520" spans="1:3" ht="15.75" customHeight="1" x14ac:dyDescent="0.25">
      <c r="A520" s="34"/>
      <c r="C520" s="34"/>
    </row>
    <row r="521" spans="1:3" ht="15.75" customHeight="1" x14ac:dyDescent="0.25">
      <c r="A521" s="34"/>
      <c r="C521" s="34"/>
    </row>
    <row r="522" spans="1:3" ht="15.75" customHeight="1" x14ac:dyDescent="0.25">
      <c r="A522" s="34"/>
      <c r="C522" s="34"/>
    </row>
    <row r="523" spans="1:3" ht="15.75" customHeight="1" x14ac:dyDescent="0.25">
      <c r="A523" s="34"/>
      <c r="C523" s="34"/>
    </row>
    <row r="524" spans="1:3" ht="15.75" customHeight="1" x14ac:dyDescent="0.25">
      <c r="A524" s="34"/>
      <c r="C524" s="34"/>
    </row>
    <row r="525" spans="1:3" ht="15.75" customHeight="1" x14ac:dyDescent="0.25">
      <c r="A525" s="34"/>
      <c r="C525" s="34"/>
    </row>
    <row r="526" spans="1:3" ht="15.75" customHeight="1" x14ac:dyDescent="0.25">
      <c r="A526" s="34"/>
      <c r="C526" s="34"/>
    </row>
    <row r="527" spans="1:3" ht="15.75" customHeight="1" x14ac:dyDescent="0.25">
      <c r="A527" s="34"/>
      <c r="C527" s="34"/>
    </row>
    <row r="528" spans="1:3" ht="15.75" customHeight="1" x14ac:dyDescent="0.25">
      <c r="A528" s="34"/>
      <c r="C528" s="34"/>
    </row>
    <row r="529" spans="1:3" ht="15.75" customHeight="1" x14ac:dyDescent="0.25">
      <c r="A529" s="34"/>
      <c r="C529" s="34"/>
    </row>
    <row r="530" spans="1:3" ht="15.75" customHeight="1" x14ac:dyDescent="0.25">
      <c r="A530" s="34"/>
      <c r="C530" s="34"/>
    </row>
    <row r="531" spans="1:3" ht="15.75" customHeight="1" x14ac:dyDescent="0.25">
      <c r="A531" s="34"/>
      <c r="C531" s="34"/>
    </row>
    <row r="532" spans="1:3" ht="15.75" customHeight="1" x14ac:dyDescent="0.25">
      <c r="A532" s="34"/>
      <c r="C532" s="34"/>
    </row>
    <row r="533" spans="1:3" ht="15.75" customHeight="1" x14ac:dyDescent="0.25">
      <c r="A533" s="34"/>
      <c r="C533" s="34"/>
    </row>
    <row r="534" spans="1:3" ht="15.75" customHeight="1" x14ac:dyDescent="0.25">
      <c r="A534" s="34"/>
      <c r="C534" s="34"/>
    </row>
    <row r="535" spans="1:3" ht="15.75" customHeight="1" x14ac:dyDescent="0.25">
      <c r="A535" s="34"/>
      <c r="C535" s="34"/>
    </row>
    <row r="536" spans="1:3" ht="15.75" customHeight="1" x14ac:dyDescent="0.25">
      <c r="A536" s="34"/>
      <c r="C536" s="34"/>
    </row>
    <row r="537" spans="1:3" ht="15.75" customHeight="1" x14ac:dyDescent="0.25">
      <c r="A537" s="34"/>
      <c r="C537" s="34"/>
    </row>
    <row r="538" spans="1:3" ht="15.75" customHeight="1" x14ac:dyDescent="0.25">
      <c r="A538" s="34"/>
      <c r="C538" s="34"/>
    </row>
    <row r="539" spans="1:3" ht="15.75" customHeight="1" x14ac:dyDescent="0.25">
      <c r="A539" s="34"/>
      <c r="C539" s="34"/>
    </row>
    <row r="540" spans="1:3" ht="15.75" customHeight="1" x14ac:dyDescent="0.25">
      <c r="A540" s="34"/>
      <c r="C540" s="34"/>
    </row>
    <row r="541" spans="1:3" ht="15.75" customHeight="1" x14ac:dyDescent="0.25">
      <c r="A541" s="34"/>
      <c r="C541" s="34"/>
    </row>
    <row r="542" spans="1:3" ht="15.75" customHeight="1" x14ac:dyDescent="0.25">
      <c r="A542" s="34"/>
      <c r="C542" s="34"/>
    </row>
    <row r="543" spans="1:3" ht="15.75" customHeight="1" x14ac:dyDescent="0.25">
      <c r="A543" s="34"/>
      <c r="C543" s="34"/>
    </row>
    <row r="544" spans="1:3" ht="15.75" customHeight="1" x14ac:dyDescent="0.25">
      <c r="A544" s="34"/>
      <c r="C544" s="34"/>
    </row>
    <row r="545" spans="1:3" ht="15.75" customHeight="1" x14ac:dyDescent="0.25">
      <c r="A545" s="34"/>
      <c r="C545" s="34"/>
    </row>
    <row r="546" spans="1:3" ht="15.75" customHeight="1" x14ac:dyDescent="0.25">
      <c r="A546" s="34"/>
      <c r="C546" s="34"/>
    </row>
    <row r="547" spans="1:3" ht="15.75" customHeight="1" x14ac:dyDescent="0.25">
      <c r="A547" s="34"/>
      <c r="C547" s="34"/>
    </row>
    <row r="548" spans="1:3" ht="15.75" customHeight="1" x14ac:dyDescent="0.25">
      <c r="A548" s="34"/>
      <c r="C548" s="34"/>
    </row>
    <row r="549" spans="1:3" ht="15.75" customHeight="1" x14ac:dyDescent="0.25">
      <c r="A549" s="34"/>
      <c r="C549" s="34"/>
    </row>
    <row r="550" spans="1:3" ht="15.75" customHeight="1" x14ac:dyDescent="0.25">
      <c r="A550" s="34"/>
      <c r="C550" s="34"/>
    </row>
    <row r="551" spans="1:3" ht="15.75" customHeight="1" x14ac:dyDescent="0.25">
      <c r="A551" s="34"/>
      <c r="C551" s="34"/>
    </row>
    <row r="552" spans="1:3" ht="15.75" customHeight="1" x14ac:dyDescent="0.25">
      <c r="A552" s="34"/>
      <c r="C552" s="34"/>
    </row>
    <row r="553" spans="1:3" ht="15.75" customHeight="1" x14ac:dyDescent="0.25">
      <c r="A553" s="34"/>
      <c r="C553" s="34"/>
    </row>
    <row r="554" spans="1:3" ht="15.75" customHeight="1" x14ac:dyDescent="0.25">
      <c r="A554" s="34"/>
      <c r="C554" s="34"/>
    </row>
    <row r="555" spans="1:3" ht="15.75" customHeight="1" x14ac:dyDescent="0.25">
      <c r="A555" s="34"/>
      <c r="C555" s="34"/>
    </row>
    <row r="556" spans="1:3" ht="15.75" customHeight="1" x14ac:dyDescent="0.25">
      <c r="A556" s="34"/>
      <c r="C556" s="34"/>
    </row>
    <row r="557" spans="1:3" ht="15.75" customHeight="1" x14ac:dyDescent="0.25">
      <c r="A557" s="34"/>
      <c r="C557" s="34"/>
    </row>
    <row r="558" spans="1:3" ht="15.75" customHeight="1" x14ac:dyDescent="0.25">
      <c r="A558" s="34"/>
      <c r="C558" s="34"/>
    </row>
    <row r="559" spans="1:3" ht="15.75" customHeight="1" x14ac:dyDescent="0.25">
      <c r="A559" s="34"/>
      <c r="C559" s="34"/>
    </row>
    <row r="560" spans="1:3" ht="15.75" customHeight="1" x14ac:dyDescent="0.25">
      <c r="A560" s="34"/>
      <c r="C560" s="34"/>
    </row>
    <row r="561" spans="1:3" ht="15.75" customHeight="1" x14ac:dyDescent="0.25">
      <c r="A561" s="34"/>
      <c r="C561" s="34"/>
    </row>
    <row r="562" spans="1:3" ht="15.75" customHeight="1" x14ac:dyDescent="0.25">
      <c r="A562" s="34"/>
      <c r="C562" s="34"/>
    </row>
    <row r="563" spans="1:3" ht="15.75" customHeight="1" x14ac:dyDescent="0.25">
      <c r="A563" s="34"/>
      <c r="C563" s="34"/>
    </row>
    <row r="564" spans="1:3" ht="15.75" customHeight="1" x14ac:dyDescent="0.25">
      <c r="A564" s="34"/>
      <c r="C564" s="34"/>
    </row>
    <row r="565" spans="1:3" ht="15.75" customHeight="1" x14ac:dyDescent="0.25">
      <c r="A565" s="34"/>
      <c r="C565" s="34"/>
    </row>
    <row r="566" spans="1:3" ht="15.75" customHeight="1" x14ac:dyDescent="0.25">
      <c r="A566" s="34"/>
      <c r="C566" s="34"/>
    </row>
    <row r="567" spans="1:3" ht="15.75" customHeight="1" x14ac:dyDescent="0.25">
      <c r="A567" s="34"/>
      <c r="C567" s="34"/>
    </row>
    <row r="568" spans="1:3" ht="15.75" customHeight="1" x14ac:dyDescent="0.25">
      <c r="A568" s="34"/>
      <c r="C568" s="34"/>
    </row>
    <row r="569" spans="1:3" ht="15.75" customHeight="1" x14ac:dyDescent="0.25">
      <c r="A569" s="34"/>
      <c r="C569" s="34"/>
    </row>
    <row r="570" spans="1:3" ht="15.75" customHeight="1" x14ac:dyDescent="0.25">
      <c r="A570" s="34"/>
      <c r="C570" s="34"/>
    </row>
    <row r="571" spans="1:3" ht="15.75" customHeight="1" x14ac:dyDescent="0.25">
      <c r="A571" s="34"/>
      <c r="C571" s="34"/>
    </row>
    <row r="572" spans="1:3" ht="15.75" customHeight="1" x14ac:dyDescent="0.25">
      <c r="A572" s="34"/>
      <c r="C572" s="34"/>
    </row>
    <row r="573" spans="1:3" ht="15.75" customHeight="1" x14ac:dyDescent="0.25">
      <c r="A573" s="34"/>
      <c r="C573" s="34"/>
    </row>
    <row r="574" spans="1:3" ht="15.75" customHeight="1" x14ac:dyDescent="0.25">
      <c r="A574" s="34"/>
      <c r="C574" s="34"/>
    </row>
    <row r="575" spans="1:3" ht="15.75" customHeight="1" x14ac:dyDescent="0.25">
      <c r="A575" s="34"/>
      <c r="C575" s="34"/>
    </row>
    <row r="576" spans="1:3" ht="15.75" customHeight="1" x14ac:dyDescent="0.25">
      <c r="A576" s="34"/>
      <c r="C576" s="34"/>
    </row>
    <row r="577" spans="1:3" ht="15.75" customHeight="1" x14ac:dyDescent="0.25">
      <c r="A577" s="34"/>
      <c r="C577" s="34"/>
    </row>
    <row r="578" spans="1:3" ht="15.75" customHeight="1" x14ac:dyDescent="0.25">
      <c r="A578" s="34"/>
      <c r="C578" s="34"/>
    </row>
    <row r="579" spans="1:3" ht="15.75" customHeight="1" x14ac:dyDescent="0.25">
      <c r="A579" s="34"/>
      <c r="C579" s="34"/>
    </row>
    <row r="580" spans="1:3" ht="15.75" customHeight="1" x14ac:dyDescent="0.25">
      <c r="A580" s="34"/>
      <c r="C580" s="34"/>
    </row>
    <row r="581" spans="1:3" ht="15.75" customHeight="1" x14ac:dyDescent="0.25">
      <c r="A581" s="34"/>
      <c r="C581" s="34"/>
    </row>
    <row r="582" spans="1:3" ht="15.75" customHeight="1" x14ac:dyDescent="0.25">
      <c r="A582" s="34"/>
      <c r="C582" s="34"/>
    </row>
    <row r="583" spans="1:3" ht="15.75" customHeight="1" x14ac:dyDescent="0.25">
      <c r="A583" s="34"/>
      <c r="C583" s="34"/>
    </row>
    <row r="584" spans="1:3" ht="15.75" customHeight="1" x14ac:dyDescent="0.25">
      <c r="A584" s="34"/>
      <c r="C584" s="34"/>
    </row>
    <row r="585" spans="1:3" ht="15.75" customHeight="1" x14ac:dyDescent="0.25">
      <c r="A585" s="34"/>
      <c r="C585" s="34"/>
    </row>
    <row r="586" spans="1:3" ht="15.75" customHeight="1" x14ac:dyDescent="0.25">
      <c r="A586" s="34"/>
      <c r="C586" s="34"/>
    </row>
    <row r="587" spans="1:3" ht="15.75" customHeight="1" x14ac:dyDescent="0.25">
      <c r="A587" s="34"/>
      <c r="C587" s="34"/>
    </row>
    <row r="588" spans="1:3" ht="15.75" customHeight="1" x14ac:dyDescent="0.25">
      <c r="A588" s="34"/>
      <c r="C588" s="34"/>
    </row>
    <row r="589" spans="1:3" ht="15.75" customHeight="1" x14ac:dyDescent="0.25">
      <c r="A589" s="34"/>
      <c r="C589" s="34"/>
    </row>
    <row r="590" spans="1:3" ht="15.75" customHeight="1" x14ac:dyDescent="0.25">
      <c r="A590" s="34"/>
      <c r="C590" s="34"/>
    </row>
    <row r="591" spans="1:3" ht="15.75" customHeight="1" x14ac:dyDescent="0.25">
      <c r="A591" s="34"/>
      <c r="C591" s="34"/>
    </row>
    <row r="592" spans="1:3" ht="15.75" customHeight="1" x14ac:dyDescent="0.25">
      <c r="A592" s="34"/>
      <c r="C592" s="34"/>
    </row>
    <row r="593" spans="1:3" ht="15.75" customHeight="1" x14ac:dyDescent="0.25">
      <c r="A593" s="34"/>
      <c r="C593" s="34"/>
    </row>
    <row r="594" spans="1:3" ht="15.75" customHeight="1" x14ac:dyDescent="0.25">
      <c r="A594" s="34"/>
      <c r="C594" s="34"/>
    </row>
    <row r="595" spans="1:3" ht="15.75" customHeight="1" x14ac:dyDescent="0.25">
      <c r="A595" s="34"/>
      <c r="C595" s="34"/>
    </row>
    <row r="596" spans="1:3" ht="15.75" customHeight="1" x14ac:dyDescent="0.25">
      <c r="A596" s="34"/>
      <c r="C596" s="34"/>
    </row>
    <row r="597" spans="1:3" ht="15.75" customHeight="1" x14ac:dyDescent="0.25">
      <c r="A597" s="34"/>
      <c r="C597" s="34"/>
    </row>
    <row r="598" spans="1:3" ht="15.75" customHeight="1" x14ac:dyDescent="0.25">
      <c r="A598" s="34"/>
      <c r="C598" s="34"/>
    </row>
    <row r="599" spans="1:3" ht="15.75" customHeight="1" x14ac:dyDescent="0.25">
      <c r="A599" s="34"/>
      <c r="C599" s="34"/>
    </row>
    <row r="600" spans="1:3" ht="15.75" customHeight="1" x14ac:dyDescent="0.25">
      <c r="A600" s="34"/>
      <c r="C600" s="34"/>
    </row>
    <row r="601" spans="1:3" ht="15.75" customHeight="1" x14ac:dyDescent="0.25">
      <c r="A601" s="34"/>
      <c r="C601" s="34"/>
    </row>
    <row r="602" spans="1:3" ht="15.75" customHeight="1" x14ac:dyDescent="0.25">
      <c r="A602" s="34"/>
      <c r="C602" s="34"/>
    </row>
    <row r="603" spans="1:3" ht="15.75" customHeight="1" x14ac:dyDescent="0.25">
      <c r="A603" s="34"/>
      <c r="C603" s="34"/>
    </row>
    <row r="604" spans="1:3" ht="15.75" customHeight="1" x14ac:dyDescent="0.25">
      <c r="A604" s="34"/>
      <c r="C604" s="34"/>
    </row>
    <row r="605" spans="1:3" ht="15.75" customHeight="1" x14ac:dyDescent="0.25">
      <c r="A605" s="34"/>
      <c r="C605" s="34"/>
    </row>
    <row r="606" spans="1:3" ht="15.75" customHeight="1" x14ac:dyDescent="0.25">
      <c r="A606" s="34"/>
      <c r="C606" s="34"/>
    </row>
    <row r="607" spans="1:3" ht="15.75" customHeight="1" x14ac:dyDescent="0.25">
      <c r="A607" s="34"/>
      <c r="C607" s="34"/>
    </row>
    <row r="608" spans="1:3" ht="15.75" customHeight="1" x14ac:dyDescent="0.25">
      <c r="A608" s="34"/>
      <c r="C608" s="34"/>
    </row>
    <row r="609" spans="1:3" ht="15.75" customHeight="1" x14ac:dyDescent="0.25">
      <c r="A609" s="34"/>
      <c r="C609" s="34"/>
    </row>
    <row r="610" spans="1:3" ht="15.75" customHeight="1" x14ac:dyDescent="0.25">
      <c r="A610" s="34"/>
      <c r="C610" s="34"/>
    </row>
    <row r="611" spans="1:3" ht="15.75" customHeight="1" x14ac:dyDescent="0.25">
      <c r="A611" s="34"/>
      <c r="C611" s="34"/>
    </row>
    <row r="612" spans="1:3" ht="15.75" customHeight="1" x14ac:dyDescent="0.25">
      <c r="A612" s="34"/>
      <c r="C612" s="34"/>
    </row>
    <row r="613" spans="1:3" ht="15.75" customHeight="1" x14ac:dyDescent="0.25">
      <c r="A613" s="34"/>
      <c r="C613" s="34"/>
    </row>
    <row r="614" spans="1:3" ht="15.75" customHeight="1" x14ac:dyDescent="0.25">
      <c r="A614" s="34"/>
      <c r="C614" s="34"/>
    </row>
    <row r="615" spans="1:3" ht="15.75" customHeight="1" x14ac:dyDescent="0.25">
      <c r="A615" s="34"/>
      <c r="C615" s="34"/>
    </row>
    <row r="616" spans="1:3" ht="15.75" customHeight="1" x14ac:dyDescent="0.25">
      <c r="A616" s="34"/>
      <c r="C616" s="34"/>
    </row>
    <row r="617" spans="1:3" ht="15.75" customHeight="1" x14ac:dyDescent="0.25">
      <c r="A617" s="34"/>
      <c r="C617" s="34"/>
    </row>
    <row r="618" spans="1:3" ht="15.75" customHeight="1" x14ac:dyDescent="0.25">
      <c r="A618" s="34"/>
      <c r="C618" s="34"/>
    </row>
    <row r="619" spans="1:3" ht="15.75" customHeight="1" x14ac:dyDescent="0.25">
      <c r="A619" s="34"/>
      <c r="C619" s="34"/>
    </row>
    <row r="620" spans="1:3" ht="15.75" customHeight="1" x14ac:dyDescent="0.25">
      <c r="A620" s="34"/>
      <c r="C620" s="34"/>
    </row>
    <row r="621" spans="1:3" ht="15.75" customHeight="1" x14ac:dyDescent="0.25">
      <c r="A621" s="34"/>
      <c r="C621" s="34"/>
    </row>
    <row r="622" spans="1:3" ht="15.75" customHeight="1" x14ac:dyDescent="0.25">
      <c r="A622" s="34"/>
      <c r="C622" s="34"/>
    </row>
    <row r="623" spans="1:3" ht="15.75" customHeight="1" x14ac:dyDescent="0.25">
      <c r="A623" s="34"/>
      <c r="C623" s="34"/>
    </row>
    <row r="624" spans="1:3" ht="15.75" customHeight="1" x14ac:dyDescent="0.25">
      <c r="A624" s="34"/>
      <c r="C624" s="34"/>
    </row>
    <row r="625" spans="1:3" ht="15.75" customHeight="1" x14ac:dyDescent="0.25">
      <c r="A625" s="34"/>
      <c r="C625" s="34"/>
    </row>
    <row r="626" spans="1:3" ht="15.75" customHeight="1" x14ac:dyDescent="0.25">
      <c r="A626" s="34"/>
      <c r="C626" s="34"/>
    </row>
    <row r="627" spans="1:3" ht="15.75" customHeight="1" x14ac:dyDescent="0.25">
      <c r="A627" s="34"/>
      <c r="C627" s="34"/>
    </row>
    <row r="628" spans="1:3" ht="15.75" customHeight="1" x14ac:dyDescent="0.25">
      <c r="A628" s="34"/>
      <c r="C628" s="34"/>
    </row>
    <row r="629" spans="1:3" ht="15.75" customHeight="1" x14ac:dyDescent="0.25">
      <c r="A629" s="34"/>
      <c r="C629" s="34"/>
    </row>
    <row r="630" spans="1:3" ht="15.75" customHeight="1" x14ac:dyDescent="0.25">
      <c r="A630" s="34"/>
      <c r="C630" s="34"/>
    </row>
    <row r="631" spans="1:3" ht="15.75" customHeight="1" x14ac:dyDescent="0.25">
      <c r="A631" s="34"/>
      <c r="C631" s="34"/>
    </row>
    <row r="632" spans="1:3" ht="15.75" customHeight="1" x14ac:dyDescent="0.25">
      <c r="A632" s="34"/>
      <c r="C632" s="34"/>
    </row>
    <row r="633" spans="1:3" ht="15.75" customHeight="1" x14ac:dyDescent="0.25">
      <c r="A633" s="34"/>
      <c r="C633" s="34"/>
    </row>
    <row r="634" spans="1:3" ht="15.75" customHeight="1" x14ac:dyDescent="0.25">
      <c r="A634" s="34"/>
      <c r="C634" s="34"/>
    </row>
    <row r="635" spans="1:3" ht="15.75" customHeight="1" x14ac:dyDescent="0.25">
      <c r="A635" s="34"/>
      <c r="C635" s="34"/>
    </row>
    <row r="636" spans="1:3" ht="15.75" customHeight="1" x14ac:dyDescent="0.25">
      <c r="A636" s="34"/>
      <c r="C636" s="34"/>
    </row>
    <row r="637" spans="1:3" ht="15.75" customHeight="1" x14ac:dyDescent="0.25">
      <c r="A637" s="34"/>
      <c r="C637" s="34"/>
    </row>
    <row r="638" spans="1:3" ht="15.75" customHeight="1" x14ac:dyDescent="0.25">
      <c r="A638" s="34"/>
      <c r="C638" s="34"/>
    </row>
    <row r="639" spans="1:3" ht="15.75" customHeight="1" x14ac:dyDescent="0.25">
      <c r="A639" s="34"/>
      <c r="C639" s="34"/>
    </row>
    <row r="640" spans="1:3" ht="15.75" customHeight="1" x14ac:dyDescent="0.25">
      <c r="A640" s="34"/>
      <c r="C640" s="34"/>
    </row>
    <row r="641" spans="1:3" ht="15.75" customHeight="1" x14ac:dyDescent="0.25">
      <c r="A641" s="34"/>
      <c r="C641" s="34"/>
    </row>
    <row r="642" spans="1:3" ht="15.75" customHeight="1" x14ac:dyDescent="0.25">
      <c r="A642" s="34"/>
      <c r="C642" s="34"/>
    </row>
    <row r="643" spans="1:3" ht="15.75" customHeight="1" x14ac:dyDescent="0.25">
      <c r="A643" s="34"/>
      <c r="C643" s="34"/>
    </row>
    <row r="644" spans="1:3" ht="15.75" customHeight="1" x14ac:dyDescent="0.25">
      <c r="A644" s="34"/>
      <c r="C644" s="34"/>
    </row>
    <row r="645" spans="1:3" ht="15.75" customHeight="1" x14ac:dyDescent="0.25">
      <c r="A645" s="34"/>
      <c r="C645" s="34"/>
    </row>
    <row r="646" spans="1:3" ht="15.75" customHeight="1" x14ac:dyDescent="0.25">
      <c r="A646" s="34"/>
      <c r="C646" s="34"/>
    </row>
    <row r="647" spans="1:3" ht="15.75" customHeight="1" x14ac:dyDescent="0.25">
      <c r="A647" s="34"/>
      <c r="C647" s="34"/>
    </row>
    <row r="648" spans="1:3" ht="15.75" customHeight="1" x14ac:dyDescent="0.25">
      <c r="A648" s="34"/>
      <c r="C648" s="34"/>
    </row>
    <row r="649" spans="1:3" ht="15.75" customHeight="1" x14ac:dyDescent="0.25">
      <c r="A649" s="34"/>
      <c r="C649" s="34"/>
    </row>
    <row r="650" spans="1:3" ht="15.75" customHeight="1" x14ac:dyDescent="0.25">
      <c r="A650" s="34"/>
      <c r="C650" s="34"/>
    </row>
    <row r="651" spans="1:3" ht="15.75" customHeight="1" x14ac:dyDescent="0.25">
      <c r="A651" s="34"/>
      <c r="C651" s="34"/>
    </row>
    <row r="652" spans="1:3" ht="15.75" customHeight="1" x14ac:dyDescent="0.25">
      <c r="A652" s="34"/>
      <c r="C652" s="34"/>
    </row>
    <row r="653" spans="1:3" ht="15.75" customHeight="1" x14ac:dyDescent="0.25">
      <c r="A653" s="34"/>
      <c r="C653" s="34"/>
    </row>
    <row r="654" spans="1:3" ht="15.75" customHeight="1" x14ac:dyDescent="0.25">
      <c r="A654" s="34"/>
      <c r="C654" s="34"/>
    </row>
    <row r="655" spans="1:3" ht="15.75" customHeight="1" x14ac:dyDescent="0.25">
      <c r="A655" s="34"/>
      <c r="C655" s="34"/>
    </row>
    <row r="656" spans="1:3" ht="15.75" customHeight="1" x14ac:dyDescent="0.25">
      <c r="A656" s="34"/>
      <c r="C656" s="34"/>
    </row>
    <row r="657" spans="1:3" ht="15.75" customHeight="1" x14ac:dyDescent="0.25">
      <c r="A657" s="34"/>
      <c r="C657" s="34"/>
    </row>
    <row r="658" spans="1:3" ht="15.75" customHeight="1" x14ac:dyDescent="0.25">
      <c r="A658" s="34"/>
      <c r="C658" s="34"/>
    </row>
    <row r="659" spans="1:3" ht="15.75" customHeight="1" x14ac:dyDescent="0.25">
      <c r="A659" s="34"/>
      <c r="C659" s="34"/>
    </row>
    <row r="660" spans="1:3" ht="15.75" customHeight="1" x14ac:dyDescent="0.25">
      <c r="A660" s="34"/>
      <c r="C660" s="34"/>
    </row>
    <row r="661" spans="1:3" ht="15.75" customHeight="1" x14ac:dyDescent="0.25">
      <c r="A661" s="34"/>
      <c r="C661" s="34"/>
    </row>
    <row r="662" spans="1:3" ht="15.75" customHeight="1" x14ac:dyDescent="0.25">
      <c r="A662" s="34"/>
      <c r="C662" s="34"/>
    </row>
    <row r="663" spans="1:3" ht="15.75" customHeight="1" x14ac:dyDescent="0.25">
      <c r="A663" s="34"/>
      <c r="C663" s="34"/>
    </row>
    <row r="664" spans="1:3" ht="15.75" customHeight="1" x14ac:dyDescent="0.25">
      <c r="A664" s="34"/>
      <c r="C664" s="34"/>
    </row>
    <row r="665" spans="1:3" ht="15.75" customHeight="1" x14ac:dyDescent="0.25">
      <c r="A665" s="34"/>
      <c r="C665" s="34"/>
    </row>
    <row r="666" spans="1:3" ht="15.75" customHeight="1" x14ac:dyDescent="0.25">
      <c r="A666" s="34"/>
      <c r="C666" s="34"/>
    </row>
    <row r="667" spans="1:3" ht="15.75" customHeight="1" x14ac:dyDescent="0.25">
      <c r="A667" s="34"/>
      <c r="C667" s="34"/>
    </row>
    <row r="668" spans="1:3" ht="15.75" customHeight="1" x14ac:dyDescent="0.25">
      <c r="A668" s="34"/>
      <c r="C668" s="34"/>
    </row>
    <row r="669" spans="1:3" ht="15.75" customHeight="1" x14ac:dyDescent="0.25">
      <c r="A669" s="34"/>
      <c r="C669" s="34"/>
    </row>
    <row r="670" spans="1:3" ht="15.75" customHeight="1" x14ac:dyDescent="0.25">
      <c r="A670" s="34"/>
      <c r="C670" s="34"/>
    </row>
    <row r="671" spans="1:3" ht="15.75" customHeight="1" x14ac:dyDescent="0.25">
      <c r="A671" s="34"/>
      <c r="C671" s="34"/>
    </row>
    <row r="672" spans="1:3" ht="15.75" customHeight="1" x14ac:dyDescent="0.25">
      <c r="A672" s="34"/>
      <c r="C672" s="34"/>
    </row>
    <row r="673" spans="1:3" ht="15.75" customHeight="1" x14ac:dyDescent="0.25">
      <c r="A673" s="34"/>
      <c r="C673" s="34"/>
    </row>
    <row r="674" spans="1:3" ht="15.75" customHeight="1" x14ac:dyDescent="0.25">
      <c r="A674" s="34"/>
      <c r="C674" s="34"/>
    </row>
    <row r="675" spans="1:3" ht="15.75" customHeight="1" x14ac:dyDescent="0.25">
      <c r="A675" s="34"/>
      <c r="C675" s="34"/>
    </row>
    <row r="676" spans="1:3" ht="15.75" customHeight="1" x14ac:dyDescent="0.25">
      <c r="A676" s="34"/>
      <c r="C676" s="34"/>
    </row>
    <row r="677" spans="1:3" ht="15.75" customHeight="1" x14ac:dyDescent="0.25">
      <c r="A677" s="34"/>
      <c r="C677" s="34"/>
    </row>
    <row r="678" spans="1:3" ht="15.75" customHeight="1" x14ac:dyDescent="0.25">
      <c r="A678" s="34"/>
      <c r="C678" s="34"/>
    </row>
    <row r="679" spans="1:3" ht="15.75" customHeight="1" x14ac:dyDescent="0.25">
      <c r="A679" s="34"/>
      <c r="C679" s="34"/>
    </row>
    <row r="680" spans="1:3" ht="15.75" customHeight="1" x14ac:dyDescent="0.25">
      <c r="A680" s="34"/>
      <c r="C680" s="34"/>
    </row>
    <row r="681" spans="1:3" ht="15.75" customHeight="1" x14ac:dyDescent="0.25">
      <c r="A681" s="34"/>
      <c r="C681" s="34"/>
    </row>
    <row r="682" spans="1:3" ht="15.75" customHeight="1" x14ac:dyDescent="0.25">
      <c r="A682" s="34"/>
      <c r="C682" s="34"/>
    </row>
    <row r="683" spans="1:3" ht="15.75" customHeight="1" x14ac:dyDescent="0.25">
      <c r="A683" s="34"/>
      <c r="C683" s="34"/>
    </row>
    <row r="684" spans="1:3" ht="15.75" customHeight="1" x14ac:dyDescent="0.25">
      <c r="A684" s="34"/>
      <c r="C684" s="34"/>
    </row>
    <row r="685" spans="1:3" ht="15.75" customHeight="1" x14ac:dyDescent="0.25">
      <c r="A685" s="34"/>
      <c r="C685" s="34"/>
    </row>
    <row r="686" spans="1:3" ht="15.75" customHeight="1" x14ac:dyDescent="0.25">
      <c r="A686" s="34"/>
      <c r="C686" s="34"/>
    </row>
    <row r="687" spans="1:3" ht="15.75" customHeight="1" x14ac:dyDescent="0.25">
      <c r="A687" s="34"/>
      <c r="C687" s="34"/>
    </row>
    <row r="688" spans="1:3" ht="15.75" customHeight="1" x14ac:dyDescent="0.25">
      <c r="A688" s="34"/>
      <c r="C688" s="34"/>
    </row>
    <row r="689" spans="1:3" ht="15.75" customHeight="1" x14ac:dyDescent="0.25">
      <c r="A689" s="34"/>
      <c r="C689" s="34"/>
    </row>
    <row r="690" spans="1:3" ht="15.75" customHeight="1" x14ac:dyDescent="0.25">
      <c r="A690" s="34"/>
      <c r="C690" s="34"/>
    </row>
    <row r="691" spans="1:3" ht="15.75" customHeight="1" x14ac:dyDescent="0.25">
      <c r="A691" s="34"/>
      <c r="C691" s="34"/>
    </row>
    <row r="692" spans="1:3" ht="15.75" customHeight="1" x14ac:dyDescent="0.25">
      <c r="A692" s="34"/>
      <c r="C692" s="34"/>
    </row>
    <row r="693" spans="1:3" ht="15.75" customHeight="1" x14ac:dyDescent="0.25">
      <c r="A693" s="34"/>
      <c r="C693" s="34"/>
    </row>
    <row r="694" spans="1:3" ht="15.75" customHeight="1" x14ac:dyDescent="0.25">
      <c r="A694" s="34"/>
      <c r="C694" s="34"/>
    </row>
    <row r="695" spans="1:3" ht="15.75" customHeight="1" x14ac:dyDescent="0.25">
      <c r="A695" s="34"/>
      <c r="C695" s="34"/>
    </row>
    <row r="696" spans="1:3" ht="15.75" customHeight="1" x14ac:dyDescent="0.25">
      <c r="A696" s="34"/>
      <c r="C696" s="34"/>
    </row>
    <row r="697" spans="1:3" ht="15.75" customHeight="1" x14ac:dyDescent="0.25">
      <c r="A697" s="34"/>
      <c r="C697" s="34"/>
    </row>
    <row r="698" spans="1:3" ht="15.75" customHeight="1" x14ac:dyDescent="0.25">
      <c r="A698" s="34"/>
      <c r="C698" s="34"/>
    </row>
    <row r="699" spans="1:3" ht="15.75" customHeight="1" x14ac:dyDescent="0.25">
      <c r="A699" s="34"/>
      <c r="C699" s="34"/>
    </row>
    <row r="700" spans="1:3" ht="15.75" customHeight="1" x14ac:dyDescent="0.25">
      <c r="A700" s="34"/>
      <c r="C700" s="34"/>
    </row>
    <row r="701" spans="1:3" ht="15.75" customHeight="1" x14ac:dyDescent="0.25">
      <c r="A701" s="34"/>
      <c r="C701" s="34"/>
    </row>
    <row r="702" spans="1:3" ht="15.75" customHeight="1" x14ac:dyDescent="0.25">
      <c r="A702" s="34"/>
      <c r="C702" s="34"/>
    </row>
    <row r="703" spans="1:3" ht="15.75" customHeight="1" x14ac:dyDescent="0.25">
      <c r="A703" s="34"/>
      <c r="C703" s="34"/>
    </row>
    <row r="704" spans="1:3" ht="15.75" customHeight="1" x14ac:dyDescent="0.25">
      <c r="A704" s="34"/>
      <c r="C704" s="34"/>
    </row>
    <row r="705" spans="1:3" ht="15.75" customHeight="1" x14ac:dyDescent="0.25">
      <c r="A705" s="34"/>
      <c r="C705" s="34"/>
    </row>
    <row r="706" spans="1:3" ht="15.75" customHeight="1" x14ac:dyDescent="0.25">
      <c r="A706" s="34"/>
      <c r="C706" s="34"/>
    </row>
    <row r="707" spans="1:3" ht="15.75" customHeight="1" x14ac:dyDescent="0.25">
      <c r="A707" s="34"/>
      <c r="C707" s="34"/>
    </row>
    <row r="708" spans="1:3" ht="15.75" customHeight="1" x14ac:dyDescent="0.25">
      <c r="A708" s="34"/>
      <c r="C708" s="34"/>
    </row>
    <row r="709" spans="1:3" ht="15.75" customHeight="1" x14ac:dyDescent="0.25">
      <c r="A709" s="34"/>
      <c r="C709" s="34"/>
    </row>
    <row r="710" spans="1:3" ht="15.75" customHeight="1" x14ac:dyDescent="0.25">
      <c r="A710" s="34"/>
      <c r="C710" s="34"/>
    </row>
    <row r="711" spans="1:3" ht="15.75" customHeight="1" x14ac:dyDescent="0.25">
      <c r="A711" s="34"/>
      <c r="C711" s="34"/>
    </row>
    <row r="712" spans="1:3" ht="15.75" customHeight="1" x14ac:dyDescent="0.25">
      <c r="A712" s="34"/>
      <c r="C712" s="34"/>
    </row>
    <row r="713" spans="1:3" ht="15.75" customHeight="1" x14ac:dyDescent="0.25">
      <c r="A713" s="34"/>
      <c r="C713" s="34"/>
    </row>
    <row r="714" spans="1:3" ht="15.75" customHeight="1" x14ac:dyDescent="0.25">
      <c r="A714" s="34"/>
      <c r="C714" s="34"/>
    </row>
    <row r="715" spans="1:3" ht="15.75" customHeight="1" x14ac:dyDescent="0.25">
      <c r="A715" s="34"/>
      <c r="C715" s="34"/>
    </row>
    <row r="716" spans="1:3" ht="15.75" customHeight="1" x14ac:dyDescent="0.25">
      <c r="A716" s="34"/>
      <c r="C716" s="34"/>
    </row>
    <row r="717" spans="1:3" ht="15.75" customHeight="1" x14ac:dyDescent="0.25">
      <c r="A717" s="34"/>
      <c r="C717" s="34"/>
    </row>
    <row r="718" spans="1:3" ht="15.75" customHeight="1" x14ac:dyDescent="0.25">
      <c r="A718" s="34"/>
      <c r="C718" s="34"/>
    </row>
    <row r="719" spans="1:3" ht="15.75" customHeight="1" x14ac:dyDescent="0.25">
      <c r="A719" s="34"/>
      <c r="C719" s="34"/>
    </row>
    <row r="720" spans="1:3" ht="15.75" customHeight="1" x14ac:dyDescent="0.25">
      <c r="A720" s="34"/>
      <c r="C720" s="34"/>
    </row>
    <row r="721" spans="1:3" ht="15.75" customHeight="1" x14ac:dyDescent="0.25">
      <c r="A721" s="34"/>
      <c r="C721" s="34"/>
    </row>
    <row r="722" spans="1:3" ht="15.75" customHeight="1" x14ac:dyDescent="0.25">
      <c r="A722" s="34"/>
      <c r="C722" s="34"/>
    </row>
    <row r="723" spans="1:3" ht="15.75" customHeight="1" x14ac:dyDescent="0.25">
      <c r="A723" s="34"/>
      <c r="C723" s="34"/>
    </row>
    <row r="724" spans="1:3" ht="15.75" customHeight="1" x14ac:dyDescent="0.25">
      <c r="A724" s="34"/>
      <c r="C724" s="34"/>
    </row>
    <row r="725" spans="1:3" ht="15.75" customHeight="1" x14ac:dyDescent="0.25">
      <c r="A725" s="34"/>
      <c r="C725" s="34"/>
    </row>
    <row r="726" spans="1:3" ht="15.75" customHeight="1" x14ac:dyDescent="0.25">
      <c r="A726" s="34"/>
      <c r="C726" s="34"/>
    </row>
    <row r="727" spans="1:3" ht="15.75" customHeight="1" x14ac:dyDescent="0.25">
      <c r="A727" s="34"/>
      <c r="C727" s="34"/>
    </row>
    <row r="728" spans="1:3" ht="15.75" customHeight="1" x14ac:dyDescent="0.25">
      <c r="A728" s="34"/>
      <c r="C728" s="34"/>
    </row>
    <row r="729" spans="1:3" ht="15.75" customHeight="1" x14ac:dyDescent="0.25">
      <c r="A729" s="34"/>
      <c r="C729" s="34"/>
    </row>
    <row r="730" spans="1:3" ht="15.75" customHeight="1" x14ac:dyDescent="0.25">
      <c r="A730" s="34"/>
      <c r="C730" s="34"/>
    </row>
    <row r="731" spans="1:3" ht="15.75" customHeight="1" x14ac:dyDescent="0.25">
      <c r="A731" s="34"/>
      <c r="C731" s="34"/>
    </row>
    <row r="732" spans="1:3" ht="15.75" customHeight="1" x14ac:dyDescent="0.25">
      <c r="A732" s="34"/>
      <c r="C732" s="34"/>
    </row>
    <row r="733" spans="1:3" ht="15.75" customHeight="1" x14ac:dyDescent="0.25">
      <c r="A733" s="34"/>
      <c r="C733" s="34"/>
    </row>
    <row r="734" spans="1:3" ht="15.75" customHeight="1" x14ac:dyDescent="0.25">
      <c r="A734" s="34"/>
      <c r="C734" s="34"/>
    </row>
    <row r="735" spans="1:3" ht="15.75" customHeight="1" x14ac:dyDescent="0.25">
      <c r="A735" s="34"/>
      <c r="C735" s="34"/>
    </row>
    <row r="736" spans="1:3" ht="15.75" customHeight="1" x14ac:dyDescent="0.25">
      <c r="A736" s="34"/>
      <c r="C736" s="34"/>
    </row>
    <row r="737" spans="1:3" ht="15.75" customHeight="1" x14ac:dyDescent="0.25">
      <c r="A737" s="34"/>
      <c r="C737" s="34"/>
    </row>
    <row r="738" spans="1:3" ht="15.75" customHeight="1" x14ac:dyDescent="0.25">
      <c r="A738" s="34"/>
      <c r="C738" s="34"/>
    </row>
    <row r="739" spans="1:3" ht="15.75" customHeight="1" x14ac:dyDescent="0.25">
      <c r="A739" s="34"/>
      <c r="C739" s="34"/>
    </row>
    <row r="740" spans="1:3" ht="15.75" customHeight="1" x14ac:dyDescent="0.25">
      <c r="A740" s="34"/>
      <c r="C740" s="34"/>
    </row>
    <row r="741" spans="1:3" ht="15.75" customHeight="1" x14ac:dyDescent="0.25">
      <c r="A741" s="34"/>
      <c r="C741" s="34"/>
    </row>
    <row r="742" spans="1:3" ht="15.75" customHeight="1" x14ac:dyDescent="0.25">
      <c r="A742" s="34"/>
      <c r="C742" s="34"/>
    </row>
    <row r="743" spans="1:3" ht="15.75" customHeight="1" x14ac:dyDescent="0.25">
      <c r="A743" s="34"/>
      <c r="C743" s="34"/>
    </row>
    <row r="744" spans="1:3" ht="15.75" customHeight="1" x14ac:dyDescent="0.25">
      <c r="A744" s="34"/>
      <c r="C744" s="34"/>
    </row>
    <row r="745" spans="1:3" ht="15.75" customHeight="1" x14ac:dyDescent="0.25">
      <c r="A745" s="34"/>
      <c r="C745" s="34"/>
    </row>
    <row r="746" spans="1:3" ht="15.75" customHeight="1" x14ac:dyDescent="0.25">
      <c r="A746" s="34"/>
      <c r="C746" s="34"/>
    </row>
    <row r="747" spans="1:3" ht="15.75" customHeight="1" x14ac:dyDescent="0.25">
      <c r="A747" s="34"/>
      <c r="C747" s="34"/>
    </row>
    <row r="748" spans="1:3" ht="15.75" customHeight="1" x14ac:dyDescent="0.25">
      <c r="A748" s="34"/>
      <c r="C748" s="34"/>
    </row>
    <row r="749" spans="1:3" ht="15.75" customHeight="1" x14ac:dyDescent="0.25">
      <c r="A749" s="34"/>
      <c r="C749" s="34"/>
    </row>
    <row r="750" spans="1:3" ht="15.75" customHeight="1" x14ac:dyDescent="0.25">
      <c r="A750" s="34"/>
      <c r="C750" s="34"/>
    </row>
    <row r="751" spans="1:3" ht="15.75" customHeight="1" x14ac:dyDescent="0.25">
      <c r="A751" s="34"/>
      <c r="C751" s="34"/>
    </row>
    <row r="752" spans="1:3" ht="15.75" customHeight="1" x14ac:dyDescent="0.25">
      <c r="A752" s="34"/>
      <c r="C752" s="34"/>
    </row>
    <row r="753" spans="1:3" ht="15.75" customHeight="1" x14ac:dyDescent="0.25">
      <c r="A753" s="34"/>
      <c r="C753" s="34"/>
    </row>
    <row r="754" spans="1:3" ht="15.75" customHeight="1" x14ac:dyDescent="0.25">
      <c r="A754" s="34"/>
      <c r="C754" s="34"/>
    </row>
    <row r="755" spans="1:3" ht="15.75" customHeight="1" x14ac:dyDescent="0.25">
      <c r="A755" s="34"/>
      <c r="C755" s="34"/>
    </row>
    <row r="756" spans="1:3" ht="15.75" customHeight="1" x14ac:dyDescent="0.25">
      <c r="A756" s="34"/>
      <c r="C756" s="34"/>
    </row>
    <row r="757" spans="1:3" ht="15.75" customHeight="1" x14ac:dyDescent="0.25">
      <c r="A757" s="34"/>
      <c r="C757" s="34"/>
    </row>
    <row r="758" spans="1:3" ht="15.75" customHeight="1" x14ac:dyDescent="0.25">
      <c r="A758" s="34"/>
      <c r="C758" s="34"/>
    </row>
    <row r="759" spans="1:3" ht="15.75" customHeight="1" x14ac:dyDescent="0.25">
      <c r="A759" s="34"/>
      <c r="C759" s="34"/>
    </row>
    <row r="760" spans="1:3" ht="15.75" customHeight="1" x14ac:dyDescent="0.25">
      <c r="A760" s="34"/>
      <c r="C760" s="34"/>
    </row>
    <row r="761" spans="1:3" ht="15.75" customHeight="1" x14ac:dyDescent="0.25">
      <c r="A761" s="34"/>
      <c r="C761" s="34"/>
    </row>
    <row r="762" spans="1:3" ht="15.75" customHeight="1" x14ac:dyDescent="0.25">
      <c r="A762" s="34"/>
      <c r="C762" s="34"/>
    </row>
    <row r="763" spans="1:3" ht="15.75" customHeight="1" x14ac:dyDescent="0.25">
      <c r="A763" s="34"/>
      <c r="C763" s="34"/>
    </row>
    <row r="764" spans="1:3" ht="15.75" customHeight="1" x14ac:dyDescent="0.25">
      <c r="A764" s="34"/>
      <c r="C764" s="34"/>
    </row>
    <row r="765" spans="1:3" ht="15.75" customHeight="1" x14ac:dyDescent="0.25">
      <c r="A765" s="34"/>
      <c r="C765" s="34"/>
    </row>
    <row r="766" spans="1:3" ht="15.75" customHeight="1" x14ac:dyDescent="0.25">
      <c r="A766" s="34"/>
      <c r="C766" s="34"/>
    </row>
    <row r="767" spans="1:3" ht="15.75" customHeight="1" x14ac:dyDescent="0.25">
      <c r="A767" s="34"/>
      <c r="C767" s="34"/>
    </row>
    <row r="768" spans="1:3" ht="15.75" customHeight="1" x14ac:dyDescent="0.25">
      <c r="A768" s="34"/>
      <c r="C768" s="34"/>
    </row>
    <row r="769" spans="1:3" ht="15.75" customHeight="1" x14ac:dyDescent="0.25">
      <c r="A769" s="34"/>
      <c r="C769" s="34"/>
    </row>
    <row r="770" spans="1:3" ht="15.75" customHeight="1" x14ac:dyDescent="0.25">
      <c r="A770" s="34"/>
      <c r="C770" s="34"/>
    </row>
    <row r="771" spans="1:3" ht="15.75" customHeight="1" x14ac:dyDescent="0.25">
      <c r="A771" s="34"/>
      <c r="C771" s="34"/>
    </row>
    <row r="772" spans="1:3" ht="15.75" customHeight="1" x14ac:dyDescent="0.25">
      <c r="A772" s="34"/>
      <c r="C772" s="34"/>
    </row>
    <row r="773" spans="1:3" ht="15.75" customHeight="1" x14ac:dyDescent="0.25">
      <c r="A773" s="34"/>
      <c r="C773" s="34"/>
    </row>
    <row r="774" spans="1:3" ht="15.75" customHeight="1" x14ac:dyDescent="0.25">
      <c r="A774" s="34"/>
      <c r="C774" s="34"/>
    </row>
    <row r="775" spans="1:3" ht="15.75" customHeight="1" x14ac:dyDescent="0.25">
      <c r="A775" s="34"/>
      <c r="C775" s="34"/>
    </row>
    <row r="776" spans="1:3" ht="15.75" customHeight="1" x14ac:dyDescent="0.25">
      <c r="A776" s="34"/>
      <c r="C776" s="34"/>
    </row>
    <row r="777" spans="1:3" ht="15.75" customHeight="1" x14ac:dyDescent="0.25">
      <c r="A777" s="34"/>
      <c r="C777" s="34"/>
    </row>
    <row r="778" spans="1:3" ht="15.75" customHeight="1" x14ac:dyDescent="0.25">
      <c r="A778" s="34"/>
      <c r="C778" s="34"/>
    </row>
    <row r="779" spans="1:3" ht="15.75" customHeight="1" x14ac:dyDescent="0.25">
      <c r="A779" s="34"/>
      <c r="C779" s="34"/>
    </row>
    <row r="780" spans="1:3" ht="15.75" customHeight="1" x14ac:dyDescent="0.25">
      <c r="A780" s="34"/>
      <c r="C780" s="34"/>
    </row>
    <row r="781" spans="1:3" ht="15.75" customHeight="1" x14ac:dyDescent="0.25">
      <c r="A781" s="34"/>
      <c r="C781" s="34"/>
    </row>
    <row r="782" spans="1:3" ht="15.75" customHeight="1" x14ac:dyDescent="0.25">
      <c r="A782" s="34"/>
      <c r="C782" s="34"/>
    </row>
    <row r="783" spans="1:3" ht="15.75" customHeight="1" x14ac:dyDescent="0.25">
      <c r="A783" s="34"/>
      <c r="C783" s="34"/>
    </row>
    <row r="784" spans="1:3" ht="15.75" customHeight="1" x14ac:dyDescent="0.25">
      <c r="A784" s="34"/>
      <c r="C784" s="34"/>
    </row>
    <row r="785" spans="1:3" ht="15.75" customHeight="1" x14ac:dyDescent="0.25">
      <c r="A785" s="34"/>
      <c r="C785" s="34"/>
    </row>
    <row r="786" spans="1:3" ht="15.75" customHeight="1" x14ac:dyDescent="0.25">
      <c r="A786" s="34"/>
      <c r="C786" s="34"/>
    </row>
    <row r="787" spans="1:3" ht="15.75" customHeight="1" x14ac:dyDescent="0.25">
      <c r="A787" s="34"/>
      <c r="C787" s="34"/>
    </row>
    <row r="788" spans="1:3" ht="15.75" customHeight="1" x14ac:dyDescent="0.25">
      <c r="A788" s="34"/>
      <c r="C788" s="34"/>
    </row>
    <row r="789" spans="1:3" ht="15.75" customHeight="1" x14ac:dyDescent="0.25">
      <c r="A789" s="34"/>
      <c r="C789" s="34"/>
    </row>
    <row r="790" spans="1:3" ht="15.75" customHeight="1" x14ac:dyDescent="0.25">
      <c r="A790" s="34"/>
      <c r="C790" s="34"/>
    </row>
    <row r="791" spans="1:3" ht="15.75" customHeight="1" x14ac:dyDescent="0.25">
      <c r="A791" s="34"/>
      <c r="C791" s="34"/>
    </row>
    <row r="792" spans="1:3" ht="15.75" customHeight="1" x14ac:dyDescent="0.25">
      <c r="A792" s="34"/>
      <c r="C792" s="34"/>
    </row>
    <row r="793" spans="1:3" ht="15.75" customHeight="1" x14ac:dyDescent="0.25">
      <c r="A793" s="34"/>
      <c r="C793" s="34"/>
    </row>
    <row r="794" spans="1:3" ht="15.75" customHeight="1" x14ac:dyDescent="0.25">
      <c r="A794" s="34"/>
      <c r="C794" s="34"/>
    </row>
    <row r="795" spans="1:3" ht="15.75" customHeight="1" x14ac:dyDescent="0.25">
      <c r="A795" s="34"/>
      <c r="C795" s="34"/>
    </row>
    <row r="796" spans="1:3" ht="15.75" customHeight="1" x14ac:dyDescent="0.25">
      <c r="A796" s="34"/>
      <c r="C796" s="34"/>
    </row>
    <row r="797" spans="1:3" ht="15.75" customHeight="1" x14ac:dyDescent="0.25">
      <c r="A797" s="34"/>
      <c r="C797" s="34"/>
    </row>
    <row r="798" spans="1:3" ht="15.75" customHeight="1" x14ac:dyDescent="0.25">
      <c r="A798" s="34"/>
      <c r="C798" s="34"/>
    </row>
    <row r="799" spans="1:3" ht="15.75" customHeight="1" x14ac:dyDescent="0.25">
      <c r="A799" s="34"/>
      <c r="C799" s="34"/>
    </row>
    <row r="800" spans="1:3" ht="15.75" customHeight="1" x14ac:dyDescent="0.25">
      <c r="A800" s="34"/>
      <c r="C800" s="34"/>
    </row>
    <row r="801" spans="1:3" ht="15.75" customHeight="1" x14ac:dyDescent="0.25">
      <c r="A801" s="34"/>
      <c r="C801" s="34"/>
    </row>
    <row r="802" spans="1:3" ht="15.75" customHeight="1" x14ac:dyDescent="0.25">
      <c r="A802" s="34"/>
      <c r="C802" s="34"/>
    </row>
    <row r="803" spans="1:3" ht="15.75" customHeight="1" x14ac:dyDescent="0.25">
      <c r="A803" s="34"/>
      <c r="C803" s="34"/>
    </row>
    <row r="804" spans="1:3" ht="15.75" customHeight="1" x14ac:dyDescent="0.25">
      <c r="A804" s="34"/>
      <c r="C804" s="34"/>
    </row>
    <row r="805" spans="1:3" ht="15.75" customHeight="1" x14ac:dyDescent="0.25">
      <c r="A805" s="34"/>
      <c r="C805" s="34"/>
    </row>
    <row r="806" spans="1:3" ht="15.75" customHeight="1" x14ac:dyDescent="0.25">
      <c r="A806" s="34"/>
      <c r="C806" s="34"/>
    </row>
    <row r="807" spans="1:3" ht="15.75" customHeight="1" x14ac:dyDescent="0.25">
      <c r="A807" s="34"/>
      <c r="C807" s="34"/>
    </row>
    <row r="808" spans="1:3" ht="15.75" customHeight="1" x14ac:dyDescent="0.25">
      <c r="A808" s="34"/>
      <c r="C808" s="34"/>
    </row>
    <row r="809" spans="1:3" ht="15.75" customHeight="1" x14ac:dyDescent="0.25">
      <c r="A809" s="34"/>
      <c r="C809" s="34"/>
    </row>
    <row r="810" spans="1:3" ht="15.75" customHeight="1" x14ac:dyDescent="0.25">
      <c r="A810" s="34"/>
      <c r="C810" s="34"/>
    </row>
    <row r="811" spans="1:3" ht="15.75" customHeight="1" x14ac:dyDescent="0.25">
      <c r="A811" s="34"/>
      <c r="C811" s="34"/>
    </row>
    <row r="812" spans="1:3" ht="15.75" customHeight="1" x14ac:dyDescent="0.25">
      <c r="A812" s="34"/>
      <c r="C812" s="34"/>
    </row>
    <row r="813" spans="1:3" ht="15.75" customHeight="1" x14ac:dyDescent="0.25">
      <c r="A813" s="34"/>
      <c r="C813" s="34"/>
    </row>
    <row r="814" spans="1:3" ht="15.75" customHeight="1" x14ac:dyDescent="0.25">
      <c r="A814" s="34"/>
      <c r="C814" s="34"/>
    </row>
    <row r="815" spans="1:3" ht="15.75" customHeight="1" x14ac:dyDescent="0.25">
      <c r="A815" s="34"/>
      <c r="C815" s="34"/>
    </row>
    <row r="816" spans="1:3" ht="15.75" customHeight="1" x14ac:dyDescent="0.25">
      <c r="A816" s="34"/>
      <c r="C816" s="34"/>
    </row>
    <row r="817" spans="1:3" ht="15.75" customHeight="1" x14ac:dyDescent="0.25">
      <c r="A817" s="34"/>
      <c r="C817" s="34"/>
    </row>
    <row r="818" spans="1:3" ht="15.75" customHeight="1" x14ac:dyDescent="0.25">
      <c r="A818" s="34"/>
      <c r="C818" s="34"/>
    </row>
    <row r="819" spans="1:3" ht="15.75" customHeight="1" x14ac:dyDescent="0.25">
      <c r="A819" s="34"/>
      <c r="C819" s="34"/>
    </row>
    <row r="820" spans="1:3" ht="15.75" customHeight="1" x14ac:dyDescent="0.25">
      <c r="A820" s="34"/>
      <c r="C820" s="34"/>
    </row>
    <row r="821" spans="1:3" ht="15.75" customHeight="1" x14ac:dyDescent="0.25">
      <c r="A821" s="34"/>
      <c r="C821" s="34"/>
    </row>
    <row r="822" spans="1:3" ht="15.75" customHeight="1" x14ac:dyDescent="0.25">
      <c r="A822" s="34"/>
      <c r="C822" s="34"/>
    </row>
    <row r="823" spans="1:3" ht="15.75" customHeight="1" x14ac:dyDescent="0.25">
      <c r="A823" s="34"/>
      <c r="C823" s="34"/>
    </row>
    <row r="824" spans="1:3" ht="15.75" customHeight="1" x14ac:dyDescent="0.25">
      <c r="A824" s="34"/>
      <c r="C824" s="34"/>
    </row>
    <row r="825" spans="1:3" ht="15.75" customHeight="1" x14ac:dyDescent="0.25">
      <c r="A825" s="34"/>
      <c r="C825" s="34"/>
    </row>
    <row r="826" spans="1:3" ht="15.75" customHeight="1" x14ac:dyDescent="0.25">
      <c r="A826" s="34"/>
      <c r="C826" s="34"/>
    </row>
    <row r="827" spans="1:3" ht="15.75" customHeight="1" x14ac:dyDescent="0.25">
      <c r="A827" s="34"/>
      <c r="C827" s="34"/>
    </row>
    <row r="828" spans="1:3" ht="15.75" customHeight="1" x14ac:dyDescent="0.25">
      <c r="A828" s="34"/>
      <c r="C828" s="34"/>
    </row>
    <row r="829" spans="1:3" ht="15.75" customHeight="1" x14ac:dyDescent="0.25">
      <c r="A829" s="34"/>
      <c r="C829" s="34"/>
    </row>
    <row r="830" spans="1:3" ht="15.75" customHeight="1" x14ac:dyDescent="0.25">
      <c r="A830" s="34"/>
      <c r="C830" s="34"/>
    </row>
    <row r="831" spans="1:3" ht="15.75" customHeight="1" x14ac:dyDescent="0.25">
      <c r="A831" s="34"/>
      <c r="C831" s="34"/>
    </row>
    <row r="832" spans="1:3" ht="15.75" customHeight="1" x14ac:dyDescent="0.25">
      <c r="A832" s="34"/>
      <c r="C832" s="34"/>
    </row>
    <row r="833" spans="1:3" ht="15.75" customHeight="1" x14ac:dyDescent="0.25">
      <c r="A833" s="34"/>
      <c r="C833" s="34"/>
    </row>
    <row r="834" spans="1:3" ht="15.75" customHeight="1" x14ac:dyDescent="0.25">
      <c r="A834" s="34"/>
      <c r="C834" s="34"/>
    </row>
    <row r="835" spans="1:3" ht="15.75" customHeight="1" x14ac:dyDescent="0.25">
      <c r="A835" s="34"/>
      <c r="C835" s="34"/>
    </row>
    <row r="836" spans="1:3" ht="15.75" customHeight="1" x14ac:dyDescent="0.25">
      <c r="A836" s="34"/>
      <c r="C836" s="34"/>
    </row>
    <row r="837" spans="1:3" ht="15.75" customHeight="1" x14ac:dyDescent="0.25">
      <c r="A837" s="34"/>
      <c r="C837" s="34"/>
    </row>
    <row r="838" spans="1:3" ht="15.75" customHeight="1" x14ac:dyDescent="0.25">
      <c r="A838" s="34"/>
      <c r="C838" s="34"/>
    </row>
    <row r="839" spans="1:3" ht="15.75" customHeight="1" x14ac:dyDescent="0.25">
      <c r="A839" s="34"/>
      <c r="C839" s="34"/>
    </row>
    <row r="840" spans="1:3" ht="15.75" customHeight="1" x14ac:dyDescent="0.25">
      <c r="A840" s="34"/>
      <c r="C840" s="34"/>
    </row>
    <row r="841" spans="1:3" ht="15.75" customHeight="1" x14ac:dyDescent="0.25">
      <c r="A841" s="34"/>
      <c r="C841" s="34"/>
    </row>
    <row r="842" spans="1:3" ht="15.75" customHeight="1" x14ac:dyDescent="0.25">
      <c r="A842" s="34"/>
      <c r="C842" s="34"/>
    </row>
    <row r="843" spans="1:3" ht="15.75" customHeight="1" x14ac:dyDescent="0.25">
      <c r="A843" s="34"/>
      <c r="C843" s="34"/>
    </row>
    <row r="844" spans="1:3" ht="15.75" customHeight="1" x14ac:dyDescent="0.25">
      <c r="A844" s="34"/>
      <c r="C844" s="34"/>
    </row>
    <row r="845" spans="1:3" ht="15.75" customHeight="1" x14ac:dyDescent="0.25">
      <c r="A845" s="34"/>
      <c r="C845" s="34"/>
    </row>
    <row r="846" spans="1:3" ht="15.75" customHeight="1" x14ac:dyDescent="0.25">
      <c r="A846" s="34"/>
      <c r="C846" s="34"/>
    </row>
    <row r="847" spans="1:3" ht="15.75" customHeight="1" x14ac:dyDescent="0.25">
      <c r="A847" s="34"/>
      <c r="C847" s="34"/>
    </row>
    <row r="848" spans="1:3" ht="15.75" customHeight="1" x14ac:dyDescent="0.25">
      <c r="A848" s="34"/>
      <c r="C848" s="34"/>
    </row>
    <row r="849" spans="1:3" ht="15.75" customHeight="1" x14ac:dyDescent="0.25">
      <c r="A849" s="34"/>
      <c r="C849" s="34"/>
    </row>
    <row r="850" spans="1:3" ht="15.75" customHeight="1" x14ac:dyDescent="0.25">
      <c r="A850" s="34"/>
      <c r="C850" s="34"/>
    </row>
    <row r="851" spans="1:3" ht="15.75" customHeight="1" x14ac:dyDescent="0.25">
      <c r="A851" s="34"/>
      <c r="C851" s="34"/>
    </row>
    <row r="852" spans="1:3" ht="15.75" customHeight="1" x14ac:dyDescent="0.25">
      <c r="A852" s="34"/>
      <c r="C852" s="34"/>
    </row>
    <row r="853" spans="1:3" ht="15.75" customHeight="1" x14ac:dyDescent="0.25">
      <c r="A853" s="34"/>
      <c r="C853" s="34"/>
    </row>
    <row r="854" spans="1:3" ht="15.75" customHeight="1" x14ac:dyDescent="0.25">
      <c r="A854" s="34"/>
      <c r="C854" s="34"/>
    </row>
    <row r="855" spans="1:3" ht="15.75" customHeight="1" x14ac:dyDescent="0.25">
      <c r="A855" s="34"/>
      <c r="C855" s="34"/>
    </row>
    <row r="856" spans="1:3" ht="15.75" customHeight="1" x14ac:dyDescent="0.25">
      <c r="A856" s="34"/>
      <c r="C856" s="34"/>
    </row>
    <row r="857" spans="1:3" ht="15.75" customHeight="1" x14ac:dyDescent="0.25">
      <c r="A857" s="34"/>
      <c r="C857" s="34"/>
    </row>
    <row r="858" spans="1:3" ht="15.75" customHeight="1" x14ac:dyDescent="0.25">
      <c r="A858" s="34"/>
      <c r="C858" s="34"/>
    </row>
    <row r="859" spans="1:3" ht="15.75" customHeight="1" x14ac:dyDescent="0.25">
      <c r="A859" s="34"/>
      <c r="C859" s="34"/>
    </row>
    <row r="860" spans="1:3" ht="15.75" customHeight="1" x14ac:dyDescent="0.25">
      <c r="A860" s="34"/>
      <c r="C860" s="34"/>
    </row>
    <row r="861" spans="1:3" ht="15.75" customHeight="1" x14ac:dyDescent="0.25">
      <c r="A861" s="34"/>
      <c r="C861" s="34"/>
    </row>
    <row r="862" spans="1:3" ht="15.75" customHeight="1" x14ac:dyDescent="0.25">
      <c r="A862" s="34"/>
      <c r="C862" s="34"/>
    </row>
    <row r="863" spans="1:3" ht="15.75" customHeight="1" x14ac:dyDescent="0.25">
      <c r="A863" s="34"/>
      <c r="C863" s="34"/>
    </row>
    <row r="864" spans="1:3" ht="15.75" customHeight="1" x14ac:dyDescent="0.25">
      <c r="A864" s="34"/>
      <c r="C864" s="34"/>
    </row>
    <row r="865" spans="1:3" ht="15.75" customHeight="1" x14ac:dyDescent="0.25">
      <c r="A865" s="34"/>
      <c r="C865" s="34"/>
    </row>
    <row r="866" spans="1:3" ht="15.75" customHeight="1" x14ac:dyDescent="0.25">
      <c r="A866" s="34"/>
      <c r="C866" s="34"/>
    </row>
    <row r="867" spans="1:3" ht="15.75" customHeight="1" x14ac:dyDescent="0.25">
      <c r="A867" s="34"/>
      <c r="C867" s="34"/>
    </row>
    <row r="868" spans="1:3" ht="15.75" customHeight="1" x14ac:dyDescent="0.25">
      <c r="A868" s="34"/>
      <c r="C868" s="34"/>
    </row>
    <row r="869" spans="1:3" ht="15.75" customHeight="1" x14ac:dyDescent="0.25">
      <c r="A869" s="34"/>
      <c r="C869" s="34"/>
    </row>
    <row r="870" spans="1:3" ht="15.75" customHeight="1" x14ac:dyDescent="0.25">
      <c r="A870" s="34"/>
      <c r="C870" s="34"/>
    </row>
    <row r="871" spans="1:3" ht="15.75" customHeight="1" x14ac:dyDescent="0.25">
      <c r="A871" s="34"/>
      <c r="C871" s="34"/>
    </row>
    <row r="872" spans="1:3" ht="15.75" customHeight="1" x14ac:dyDescent="0.25">
      <c r="A872" s="34"/>
      <c r="C872" s="34"/>
    </row>
    <row r="873" spans="1:3" ht="15.75" customHeight="1" x14ac:dyDescent="0.25">
      <c r="A873" s="34"/>
      <c r="C873" s="34"/>
    </row>
    <row r="874" spans="1:3" ht="15.75" customHeight="1" x14ac:dyDescent="0.25">
      <c r="A874" s="34"/>
      <c r="C874" s="34"/>
    </row>
    <row r="875" spans="1:3" ht="15.75" customHeight="1" x14ac:dyDescent="0.25">
      <c r="A875" s="34"/>
      <c r="C875" s="34"/>
    </row>
    <row r="876" spans="1:3" ht="15.75" customHeight="1" x14ac:dyDescent="0.25">
      <c r="A876" s="34"/>
      <c r="C876" s="34"/>
    </row>
    <row r="877" spans="1:3" ht="15.75" customHeight="1" x14ac:dyDescent="0.25">
      <c r="A877" s="34"/>
      <c r="C877" s="34"/>
    </row>
    <row r="878" spans="1:3" ht="15.75" customHeight="1" x14ac:dyDescent="0.25">
      <c r="A878" s="34"/>
      <c r="C878" s="34"/>
    </row>
    <row r="879" spans="1:3" ht="15.75" customHeight="1" x14ac:dyDescent="0.25">
      <c r="A879" s="34"/>
      <c r="C879" s="34"/>
    </row>
    <row r="880" spans="1:3" ht="15.75" customHeight="1" x14ac:dyDescent="0.25">
      <c r="A880" s="34"/>
      <c r="C880" s="34"/>
    </row>
    <row r="881" spans="1:3" ht="15.75" customHeight="1" x14ac:dyDescent="0.25">
      <c r="A881" s="34"/>
      <c r="C881" s="34"/>
    </row>
    <row r="882" spans="1:3" ht="15.75" customHeight="1" x14ac:dyDescent="0.25">
      <c r="A882" s="34"/>
      <c r="C882" s="34"/>
    </row>
    <row r="883" spans="1:3" ht="15.75" customHeight="1" x14ac:dyDescent="0.25">
      <c r="A883" s="34"/>
      <c r="C883" s="34"/>
    </row>
    <row r="884" spans="1:3" ht="15.75" customHeight="1" x14ac:dyDescent="0.25">
      <c r="A884" s="34"/>
      <c r="C884" s="34"/>
    </row>
    <row r="885" spans="1:3" ht="15.75" customHeight="1" x14ac:dyDescent="0.25">
      <c r="A885" s="34"/>
      <c r="C885" s="34"/>
    </row>
    <row r="886" spans="1:3" ht="15.75" customHeight="1" x14ac:dyDescent="0.25">
      <c r="A886" s="34"/>
      <c r="C886" s="34"/>
    </row>
    <row r="887" spans="1:3" ht="15.75" customHeight="1" x14ac:dyDescent="0.25">
      <c r="A887" s="34"/>
      <c r="C887" s="34"/>
    </row>
    <row r="888" spans="1:3" ht="15.75" customHeight="1" x14ac:dyDescent="0.25">
      <c r="A888" s="34"/>
      <c r="C888" s="34"/>
    </row>
    <row r="889" spans="1:3" ht="15.75" customHeight="1" x14ac:dyDescent="0.25">
      <c r="A889" s="34"/>
      <c r="C889" s="34"/>
    </row>
    <row r="890" spans="1:3" ht="15.75" customHeight="1" x14ac:dyDescent="0.25">
      <c r="A890" s="34"/>
      <c r="C890" s="34"/>
    </row>
    <row r="891" spans="1:3" ht="15.75" customHeight="1" x14ac:dyDescent="0.25">
      <c r="A891" s="34"/>
      <c r="C891" s="34"/>
    </row>
    <row r="892" spans="1:3" ht="15.75" customHeight="1" x14ac:dyDescent="0.25">
      <c r="A892" s="34"/>
      <c r="C892" s="34"/>
    </row>
    <row r="893" spans="1:3" ht="15.75" customHeight="1" x14ac:dyDescent="0.25">
      <c r="A893" s="34"/>
      <c r="C893" s="34"/>
    </row>
    <row r="894" spans="1:3" ht="15.75" customHeight="1" x14ac:dyDescent="0.25">
      <c r="A894" s="34"/>
      <c r="C894" s="34"/>
    </row>
    <row r="895" spans="1:3" ht="15.75" customHeight="1" x14ac:dyDescent="0.25">
      <c r="A895" s="34"/>
      <c r="C895" s="34"/>
    </row>
    <row r="896" spans="1:3" ht="15.75" customHeight="1" x14ac:dyDescent="0.25">
      <c r="A896" s="34"/>
      <c r="C896" s="34"/>
    </row>
    <row r="897" spans="1:3" ht="15.75" customHeight="1" x14ac:dyDescent="0.25">
      <c r="A897" s="34"/>
      <c r="C897" s="34"/>
    </row>
    <row r="898" spans="1:3" ht="15.75" customHeight="1" x14ac:dyDescent="0.25">
      <c r="A898" s="34"/>
      <c r="C898" s="34"/>
    </row>
    <row r="899" spans="1:3" ht="15.75" customHeight="1" x14ac:dyDescent="0.25">
      <c r="A899" s="34"/>
      <c r="C899" s="34"/>
    </row>
    <row r="900" spans="1:3" ht="15.75" customHeight="1" x14ac:dyDescent="0.25">
      <c r="A900" s="34"/>
      <c r="C900" s="34"/>
    </row>
    <row r="901" spans="1:3" ht="15.75" customHeight="1" x14ac:dyDescent="0.25">
      <c r="A901" s="34"/>
      <c r="C901" s="34"/>
    </row>
    <row r="902" spans="1:3" ht="15.75" customHeight="1" x14ac:dyDescent="0.25">
      <c r="A902" s="34"/>
      <c r="C902" s="34"/>
    </row>
    <row r="903" spans="1:3" ht="15.75" customHeight="1" x14ac:dyDescent="0.25">
      <c r="A903" s="34"/>
      <c r="C903" s="34"/>
    </row>
    <row r="904" spans="1:3" ht="15.75" customHeight="1" x14ac:dyDescent="0.25">
      <c r="A904" s="34"/>
      <c r="C904" s="34"/>
    </row>
    <row r="905" spans="1:3" ht="15.75" customHeight="1" x14ac:dyDescent="0.25">
      <c r="A905" s="34"/>
      <c r="C905" s="34"/>
    </row>
    <row r="906" spans="1:3" ht="15.75" customHeight="1" x14ac:dyDescent="0.25">
      <c r="A906" s="34"/>
      <c r="C906" s="34"/>
    </row>
    <row r="907" spans="1:3" ht="15.75" customHeight="1" x14ac:dyDescent="0.25">
      <c r="A907" s="34"/>
      <c r="C907" s="34"/>
    </row>
    <row r="908" spans="1:3" ht="15.75" customHeight="1" x14ac:dyDescent="0.25">
      <c r="A908" s="34"/>
      <c r="C908" s="34"/>
    </row>
    <row r="909" spans="1:3" ht="15.75" customHeight="1" x14ac:dyDescent="0.25">
      <c r="A909" s="34"/>
      <c r="C909" s="34"/>
    </row>
    <row r="910" spans="1:3" ht="15.75" customHeight="1" x14ac:dyDescent="0.25">
      <c r="A910" s="34"/>
      <c r="C910" s="34"/>
    </row>
    <row r="911" spans="1:3" ht="15.75" customHeight="1" x14ac:dyDescent="0.25">
      <c r="A911" s="34"/>
      <c r="C911" s="34"/>
    </row>
    <row r="912" spans="1:3" ht="15.75" customHeight="1" x14ac:dyDescent="0.25">
      <c r="A912" s="34"/>
      <c r="C912" s="34"/>
    </row>
    <row r="913" spans="1:3" ht="15.75" customHeight="1" x14ac:dyDescent="0.25">
      <c r="A913" s="34"/>
      <c r="C913" s="34"/>
    </row>
    <row r="914" spans="1:3" ht="15.75" customHeight="1" x14ac:dyDescent="0.25">
      <c r="A914" s="34"/>
      <c r="C914" s="34"/>
    </row>
    <row r="915" spans="1:3" ht="15.75" customHeight="1" x14ac:dyDescent="0.25">
      <c r="A915" s="34"/>
      <c r="C915" s="34"/>
    </row>
    <row r="916" spans="1:3" ht="15.75" customHeight="1" x14ac:dyDescent="0.25">
      <c r="A916" s="34"/>
      <c r="C916" s="34"/>
    </row>
    <row r="917" spans="1:3" ht="15.75" customHeight="1" x14ac:dyDescent="0.25">
      <c r="A917" s="34"/>
      <c r="C917" s="34"/>
    </row>
    <row r="918" spans="1:3" ht="15.75" customHeight="1" x14ac:dyDescent="0.25">
      <c r="A918" s="34"/>
      <c r="C918" s="34"/>
    </row>
    <row r="919" spans="1:3" ht="15.75" customHeight="1" x14ac:dyDescent="0.25">
      <c r="A919" s="34"/>
      <c r="C919" s="34"/>
    </row>
    <row r="920" spans="1:3" ht="15.75" customHeight="1" x14ac:dyDescent="0.25">
      <c r="A920" s="34"/>
      <c r="C920" s="34"/>
    </row>
    <row r="921" spans="1:3" ht="15.75" customHeight="1" x14ac:dyDescent="0.25">
      <c r="A921" s="34"/>
      <c r="C921" s="34"/>
    </row>
    <row r="922" spans="1:3" ht="15.75" customHeight="1" x14ac:dyDescent="0.25">
      <c r="A922" s="34"/>
      <c r="C922" s="34"/>
    </row>
    <row r="923" spans="1:3" ht="15.75" customHeight="1" x14ac:dyDescent="0.25">
      <c r="A923" s="34"/>
      <c r="C923" s="34"/>
    </row>
    <row r="924" spans="1:3" ht="15.75" customHeight="1" x14ac:dyDescent="0.25">
      <c r="A924" s="34"/>
      <c r="C924" s="34"/>
    </row>
    <row r="925" spans="1:3" ht="15.75" customHeight="1" x14ac:dyDescent="0.25">
      <c r="A925" s="34"/>
      <c r="C925" s="34"/>
    </row>
    <row r="926" spans="1:3" ht="15.75" customHeight="1" x14ac:dyDescent="0.25">
      <c r="A926" s="34"/>
      <c r="C926" s="34"/>
    </row>
    <row r="927" spans="1:3" ht="15.75" customHeight="1" x14ac:dyDescent="0.25">
      <c r="A927" s="34"/>
      <c r="C927" s="34"/>
    </row>
    <row r="928" spans="1:3" ht="15.75" customHeight="1" x14ac:dyDescent="0.25">
      <c r="A928" s="34"/>
      <c r="C928" s="34"/>
    </row>
    <row r="929" spans="1:3" ht="15.75" customHeight="1" x14ac:dyDescent="0.25">
      <c r="A929" s="34"/>
      <c r="C929" s="34"/>
    </row>
    <row r="930" spans="1:3" ht="15.75" customHeight="1" x14ac:dyDescent="0.25">
      <c r="A930" s="34"/>
      <c r="C930" s="34"/>
    </row>
    <row r="931" spans="1:3" ht="15.75" customHeight="1" x14ac:dyDescent="0.25">
      <c r="A931" s="34"/>
      <c r="C931" s="34"/>
    </row>
    <row r="932" spans="1:3" ht="15.75" customHeight="1" x14ac:dyDescent="0.25">
      <c r="A932" s="34"/>
      <c r="C932" s="34"/>
    </row>
    <row r="933" spans="1:3" ht="15.75" customHeight="1" x14ac:dyDescent="0.25">
      <c r="A933" s="34"/>
      <c r="C933" s="34"/>
    </row>
    <row r="934" spans="1:3" ht="15.75" customHeight="1" x14ac:dyDescent="0.25">
      <c r="A934" s="34"/>
      <c r="C934" s="34"/>
    </row>
    <row r="935" spans="1:3" ht="15.75" customHeight="1" x14ac:dyDescent="0.25">
      <c r="A935" s="34"/>
      <c r="C935" s="34"/>
    </row>
    <row r="936" spans="1:3" ht="15.75" customHeight="1" x14ac:dyDescent="0.25">
      <c r="A936" s="34"/>
      <c r="C936" s="34"/>
    </row>
    <row r="937" spans="1:3" ht="15.75" customHeight="1" x14ac:dyDescent="0.25">
      <c r="A937" s="34"/>
      <c r="C937" s="34"/>
    </row>
    <row r="938" spans="1:3" ht="15.75" customHeight="1" x14ac:dyDescent="0.25">
      <c r="A938" s="34"/>
      <c r="C938" s="34"/>
    </row>
    <row r="939" spans="1:3" ht="15.75" customHeight="1" x14ac:dyDescent="0.25">
      <c r="A939" s="34"/>
      <c r="C939" s="34"/>
    </row>
    <row r="940" spans="1:3" ht="15.75" customHeight="1" x14ac:dyDescent="0.25">
      <c r="A940" s="34"/>
      <c r="C940" s="34"/>
    </row>
    <row r="941" spans="1:3" ht="15.75" customHeight="1" x14ac:dyDescent="0.25">
      <c r="A941" s="34"/>
      <c r="C941" s="34"/>
    </row>
    <row r="942" spans="1:3" ht="15.75" customHeight="1" x14ac:dyDescent="0.25">
      <c r="A942" s="34"/>
      <c r="C942" s="34"/>
    </row>
    <row r="943" spans="1:3" ht="15.75" customHeight="1" x14ac:dyDescent="0.25">
      <c r="A943" s="34"/>
      <c r="C943" s="34"/>
    </row>
    <row r="944" spans="1:3" ht="15.75" customHeight="1" x14ac:dyDescent="0.25">
      <c r="A944" s="34"/>
      <c r="C944" s="34"/>
    </row>
    <row r="945" spans="1:3" ht="15.75" customHeight="1" x14ac:dyDescent="0.25">
      <c r="A945" s="34"/>
      <c r="C945" s="34"/>
    </row>
    <row r="946" spans="1:3" ht="15.75" customHeight="1" x14ac:dyDescent="0.25">
      <c r="A946" s="34"/>
      <c r="C946" s="34"/>
    </row>
    <row r="947" spans="1:3" ht="15.75" customHeight="1" x14ac:dyDescent="0.25">
      <c r="A947" s="34"/>
      <c r="C947" s="34"/>
    </row>
    <row r="948" spans="1:3" ht="15.75" customHeight="1" x14ac:dyDescent="0.25">
      <c r="A948" s="34"/>
      <c r="C948" s="34"/>
    </row>
    <row r="949" spans="1:3" ht="15.75" customHeight="1" x14ac:dyDescent="0.25">
      <c r="A949" s="34"/>
      <c r="C949" s="34"/>
    </row>
    <row r="950" spans="1:3" ht="15.75" customHeight="1" x14ac:dyDescent="0.25">
      <c r="A950" s="34"/>
      <c r="C950" s="34"/>
    </row>
    <row r="951" spans="1:3" ht="15.75" customHeight="1" x14ac:dyDescent="0.25">
      <c r="A951" s="34"/>
      <c r="C951" s="34"/>
    </row>
    <row r="952" spans="1:3" ht="15.75" customHeight="1" x14ac:dyDescent="0.25">
      <c r="A952" s="34"/>
      <c r="C952" s="34"/>
    </row>
    <row r="953" spans="1:3" ht="15.75" customHeight="1" x14ac:dyDescent="0.25">
      <c r="A953" s="34"/>
      <c r="C953" s="34"/>
    </row>
    <row r="954" spans="1:3" ht="15.75" customHeight="1" x14ac:dyDescent="0.25">
      <c r="A954" s="34"/>
      <c r="C954" s="34"/>
    </row>
    <row r="955" spans="1:3" ht="15.75" customHeight="1" x14ac:dyDescent="0.25">
      <c r="A955" s="34"/>
      <c r="C955" s="34"/>
    </row>
    <row r="956" spans="1:3" ht="15.75" customHeight="1" x14ac:dyDescent="0.25">
      <c r="A956" s="34"/>
      <c r="C956" s="34"/>
    </row>
    <row r="957" spans="1:3" ht="15.75" customHeight="1" x14ac:dyDescent="0.25">
      <c r="A957" s="34"/>
      <c r="C957" s="34"/>
    </row>
    <row r="958" spans="1:3" ht="15.75" customHeight="1" x14ac:dyDescent="0.25">
      <c r="A958" s="34"/>
      <c r="C958" s="34"/>
    </row>
    <row r="959" spans="1:3" ht="15.75" customHeight="1" x14ac:dyDescent="0.25">
      <c r="A959" s="34"/>
      <c r="C959" s="34"/>
    </row>
    <row r="960" spans="1:3" ht="15.75" customHeight="1" x14ac:dyDescent="0.25">
      <c r="A960" s="34"/>
      <c r="C960" s="34"/>
    </row>
    <row r="961" spans="1:3" ht="15.75" customHeight="1" x14ac:dyDescent="0.25">
      <c r="A961" s="34"/>
      <c r="C961" s="34"/>
    </row>
    <row r="962" spans="1:3" ht="15.75" customHeight="1" x14ac:dyDescent="0.25">
      <c r="A962" s="34"/>
      <c r="C962" s="34"/>
    </row>
    <row r="963" spans="1:3" ht="15.75" customHeight="1" x14ac:dyDescent="0.25">
      <c r="A963" s="34"/>
      <c r="C963" s="34"/>
    </row>
    <row r="964" spans="1:3" ht="15.75" customHeight="1" x14ac:dyDescent="0.25">
      <c r="A964" s="34"/>
      <c r="C964" s="34"/>
    </row>
    <row r="965" spans="1:3" ht="15.75" customHeight="1" x14ac:dyDescent="0.25">
      <c r="A965" s="34"/>
      <c r="C965" s="34"/>
    </row>
    <row r="966" spans="1:3" ht="15.75" customHeight="1" x14ac:dyDescent="0.25">
      <c r="A966" s="34"/>
      <c r="C966" s="34"/>
    </row>
    <row r="967" spans="1:3" ht="15.75" customHeight="1" x14ac:dyDescent="0.25">
      <c r="A967" s="34"/>
      <c r="C967" s="34"/>
    </row>
    <row r="968" spans="1:3" ht="15.75" customHeight="1" x14ac:dyDescent="0.25">
      <c r="A968" s="34"/>
      <c r="C968" s="34"/>
    </row>
    <row r="969" spans="1:3" ht="15.75" customHeight="1" x14ac:dyDescent="0.25">
      <c r="A969" s="34"/>
      <c r="C969" s="34"/>
    </row>
    <row r="970" spans="1:3" ht="15.75" customHeight="1" x14ac:dyDescent="0.25">
      <c r="A970" s="34"/>
      <c r="C970" s="34"/>
    </row>
    <row r="971" spans="1:3" ht="15.75" customHeight="1" x14ac:dyDescent="0.25">
      <c r="A971" s="34"/>
      <c r="C971" s="34"/>
    </row>
    <row r="972" spans="1:3" ht="15.75" customHeight="1" x14ac:dyDescent="0.25">
      <c r="A972" s="34"/>
      <c r="C972" s="34"/>
    </row>
    <row r="973" spans="1:3" ht="15.75" customHeight="1" x14ac:dyDescent="0.25">
      <c r="A973" s="34"/>
      <c r="C973" s="34"/>
    </row>
    <row r="974" spans="1:3" ht="15.75" customHeight="1" x14ac:dyDescent="0.25">
      <c r="A974" s="34"/>
      <c r="C974" s="34"/>
    </row>
    <row r="975" spans="1:3" ht="15.75" customHeight="1" x14ac:dyDescent="0.25">
      <c r="A975" s="34"/>
      <c r="C975" s="34"/>
    </row>
    <row r="976" spans="1:3" ht="15.75" customHeight="1" x14ac:dyDescent="0.25">
      <c r="A976" s="34"/>
      <c r="C976" s="34"/>
    </row>
    <row r="977" spans="1:3" ht="15.75" customHeight="1" x14ac:dyDescent="0.25">
      <c r="A977" s="34"/>
      <c r="C977" s="34"/>
    </row>
    <row r="978" spans="1:3" ht="15.75" customHeight="1" x14ac:dyDescent="0.25">
      <c r="A978" s="34"/>
      <c r="C978" s="34"/>
    </row>
    <row r="979" spans="1:3" ht="15.75" customHeight="1" x14ac:dyDescent="0.25">
      <c r="A979" s="34"/>
      <c r="C979" s="34"/>
    </row>
    <row r="980" spans="1:3" ht="15.75" customHeight="1" x14ac:dyDescent="0.25">
      <c r="A980" s="34"/>
      <c r="C980" s="34"/>
    </row>
    <row r="981" spans="1:3" ht="15.75" customHeight="1" x14ac:dyDescent="0.25">
      <c r="A981" s="34"/>
      <c r="C981" s="34"/>
    </row>
    <row r="982" spans="1:3" ht="15.75" customHeight="1" x14ac:dyDescent="0.25">
      <c r="A982" s="34"/>
      <c r="C982" s="34"/>
    </row>
    <row r="983" spans="1:3" ht="15.75" customHeight="1" x14ac:dyDescent="0.25">
      <c r="A983" s="34"/>
      <c r="C983" s="34"/>
    </row>
    <row r="984" spans="1:3" ht="15.75" customHeight="1" x14ac:dyDescent="0.25">
      <c r="A984" s="34"/>
      <c r="C984" s="34"/>
    </row>
    <row r="985" spans="1:3" ht="15.75" customHeight="1" x14ac:dyDescent="0.25">
      <c r="A985" s="34"/>
      <c r="C985" s="34"/>
    </row>
    <row r="986" spans="1:3" ht="15.75" customHeight="1" x14ac:dyDescent="0.25">
      <c r="A986" s="34"/>
      <c r="C986" s="34"/>
    </row>
    <row r="987" spans="1:3" ht="15.75" customHeight="1" x14ac:dyDescent="0.25">
      <c r="A987" s="34"/>
      <c r="C987" s="34"/>
    </row>
    <row r="988" spans="1:3" ht="15.75" customHeight="1" x14ac:dyDescent="0.25">
      <c r="A988" s="34"/>
      <c r="C988" s="34"/>
    </row>
    <row r="989" spans="1:3" ht="15.75" customHeight="1" x14ac:dyDescent="0.25">
      <c r="A989" s="34"/>
      <c r="C989" s="34"/>
    </row>
    <row r="990" spans="1:3" ht="15.75" customHeight="1" x14ac:dyDescent="0.25">
      <c r="A990" s="34"/>
      <c r="C990" s="34"/>
    </row>
    <row r="991" spans="1:3" ht="15.75" customHeight="1" x14ac:dyDescent="0.25">
      <c r="A991" s="34"/>
      <c r="C991" s="34"/>
    </row>
    <row r="992" spans="1:3" ht="15.75" customHeight="1" x14ac:dyDescent="0.25">
      <c r="A992" s="34"/>
      <c r="C992" s="34"/>
    </row>
    <row r="993" spans="1:3" ht="15.75" customHeight="1" x14ac:dyDescent="0.25">
      <c r="A993" s="34"/>
      <c r="C993" s="34"/>
    </row>
    <row r="994" spans="1:3" ht="15.75" customHeight="1" x14ac:dyDescent="0.25">
      <c r="A994" s="34"/>
      <c r="C994" s="34"/>
    </row>
    <row r="995" spans="1:3" ht="15.75" customHeight="1" x14ac:dyDescent="0.25">
      <c r="A995" s="34"/>
      <c r="C995" s="34"/>
    </row>
    <row r="996" spans="1:3" ht="15.75" customHeight="1" x14ac:dyDescent="0.25">
      <c r="A996" s="34"/>
      <c r="C996" s="34"/>
    </row>
    <row r="997" spans="1:3" ht="15.75" customHeight="1" x14ac:dyDescent="0.25">
      <c r="A997" s="34"/>
      <c r="C997" s="34"/>
    </row>
    <row r="998" spans="1:3" ht="15.75" customHeight="1" x14ac:dyDescent="0.25">
      <c r="A998" s="34"/>
      <c r="C998" s="34"/>
    </row>
    <row r="999" spans="1:3" ht="15.75" customHeight="1" x14ac:dyDescent="0.25">
      <c r="A999" s="34"/>
      <c r="C999" s="34"/>
    </row>
    <row r="1000" spans="1:3" ht="15.75" customHeight="1" x14ac:dyDescent="0.25">
      <c r="A1000" s="34"/>
      <c r="C1000" s="34"/>
    </row>
  </sheetData>
  <autoFilter ref="A1:D1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selection activeCell="B4" sqref="B4"/>
    </sheetView>
  </sheetViews>
  <sheetFormatPr defaultColWidth="11.42578125" defaultRowHeight="15" x14ac:dyDescent="0.25"/>
  <cols>
    <col min="1" max="1" width="10.85546875" style="239"/>
    <col min="2" max="2" width="57.7109375" customWidth="1"/>
  </cols>
  <sheetData>
    <row r="1" spans="1:3" x14ac:dyDescent="0.25">
      <c r="A1" s="239" t="s">
        <v>507</v>
      </c>
      <c r="B1" s="2" t="s">
        <v>501</v>
      </c>
      <c r="C1" t="s">
        <v>6</v>
      </c>
    </row>
    <row r="2" spans="1:3" x14ac:dyDescent="0.25">
      <c r="A2" s="239">
        <v>13</v>
      </c>
      <c r="B2" s="5" t="s">
        <v>107</v>
      </c>
      <c r="C2" t="s">
        <v>255</v>
      </c>
    </row>
    <row r="3" spans="1:3" x14ac:dyDescent="0.25">
      <c r="A3" s="239">
        <v>14</v>
      </c>
      <c r="B3" s="5" t="s">
        <v>108</v>
      </c>
      <c r="C3" t="s">
        <v>250</v>
      </c>
    </row>
    <row r="4" spans="1:3" x14ac:dyDescent="0.25">
      <c r="A4" s="239">
        <v>15</v>
      </c>
      <c r="B4" s="5" t="s">
        <v>109</v>
      </c>
      <c r="C4" t="s">
        <v>250</v>
      </c>
    </row>
    <row r="5" spans="1:3" x14ac:dyDescent="0.25">
      <c r="A5" s="239">
        <v>41</v>
      </c>
      <c r="B5" s="12" t="s">
        <v>97</v>
      </c>
      <c r="C5" t="s">
        <v>502</v>
      </c>
    </row>
    <row r="6" spans="1:3" x14ac:dyDescent="0.25">
      <c r="A6" s="239">
        <v>52</v>
      </c>
      <c r="B6" s="12" t="s">
        <v>110</v>
      </c>
      <c r="C6" t="s">
        <v>503</v>
      </c>
    </row>
    <row r="7" spans="1:3" x14ac:dyDescent="0.25">
      <c r="A7" s="239">
        <v>57</v>
      </c>
      <c r="B7" s="12" t="s">
        <v>111</v>
      </c>
      <c r="C7" t="s">
        <v>505</v>
      </c>
    </row>
    <row r="8" spans="1:3" x14ac:dyDescent="0.25">
      <c r="A8" s="239">
        <v>39</v>
      </c>
      <c r="B8" s="12" t="s">
        <v>90</v>
      </c>
      <c r="C8" t="s">
        <v>196</v>
      </c>
    </row>
    <row r="9" spans="1:3" x14ac:dyDescent="0.25">
      <c r="A9" s="239">
        <v>47</v>
      </c>
      <c r="B9" s="12" t="s">
        <v>112</v>
      </c>
      <c r="C9" t="s">
        <v>502</v>
      </c>
    </row>
    <row r="10" spans="1:3" x14ac:dyDescent="0.25">
      <c r="A10" s="239">
        <v>16</v>
      </c>
      <c r="B10" s="5" t="s">
        <v>113</v>
      </c>
      <c r="C10" t="s">
        <v>253</v>
      </c>
    </row>
    <row r="11" spans="1:3" x14ac:dyDescent="0.25">
      <c r="A11" s="239">
        <v>44</v>
      </c>
      <c r="B11" s="12" t="s">
        <v>102</v>
      </c>
      <c r="C11" t="s">
        <v>502</v>
      </c>
    </row>
    <row r="12" spans="1:3" x14ac:dyDescent="0.25">
      <c r="A12" s="239">
        <v>17</v>
      </c>
      <c r="B12" s="5" t="s">
        <v>114</v>
      </c>
      <c r="C12" t="s">
        <v>251</v>
      </c>
    </row>
    <row r="13" spans="1:3" x14ac:dyDescent="0.25">
      <c r="A13" s="239">
        <v>7</v>
      </c>
      <c r="B13" s="5" t="s">
        <v>94</v>
      </c>
      <c r="C13" t="s">
        <v>252</v>
      </c>
    </row>
    <row r="14" spans="1:3" x14ac:dyDescent="0.25">
      <c r="A14" s="239">
        <v>5</v>
      </c>
      <c r="B14" s="5" t="s">
        <v>87</v>
      </c>
      <c r="C14" t="s">
        <v>249</v>
      </c>
    </row>
    <row r="15" spans="1:3" x14ac:dyDescent="0.25">
      <c r="A15" s="239">
        <v>8</v>
      </c>
      <c r="B15" s="5" t="s">
        <v>95</v>
      </c>
      <c r="C15" t="s">
        <v>257</v>
      </c>
    </row>
    <row r="16" spans="1:3" x14ac:dyDescent="0.25">
      <c r="A16" s="239">
        <v>58</v>
      </c>
      <c r="B16" s="12" t="s">
        <v>115</v>
      </c>
      <c r="C16" t="s">
        <v>505</v>
      </c>
    </row>
    <row r="17" spans="1:3" x14ac:dyDescent="0.25">
      <c r="A17" s="239">
        <v>18</v>
      </c>
      <c r="B17" s="5" t="s">
        <v>116</v>
      </c>
      <c r="C17" t="s">
        <v>177</v>
      </c>
    </row>
    <row r="18" spans="1:3" x14ac:dyDescent="0.25">
      <c r="A18" s="239">
        <v>6</v>
      </c>
      <c r="B18" s="5" t="s">
        <v>93</v>
      </c>
      <c r="C18" t="s">
        <v>251</v>
      </c>
    </row>
    <row r="19" spans="1:3" x14ac:dyDescent="0.25">
      <c r="A19" s="239">
        <v>56</v>
      </c>
      <c r="B19" s="12" t="s">
        <v>88</v>
      </c>
      <c r="C19" t="s">
        <v>259</v>
      </c>
    </row>
    <row r="20" spans="1:3" x14ac:dyDescent="0.25">
      <c r="A20" s="239">
        <v>19</v>
      </c>
      <c r="B20" s="5" t="s">
        <v>117</v>
      </c>
      <c r="C20" t="s">
        <v>256</v>
      </c>
    </row>
    <row r="21" spans="1:3" x14ac:dyDescent="0.25">
      <c r="A21" s="239">
        <v>59</v>
      </c>
      <c r="B21" s="12" t="s">
        <v>118</v>
      </c>
      <c r="C21" t="s">
        <v>505</v>
      </c>
    </row>
    <row r="22" spans="1:3" x14ac:dyDescent="0.25">
      <c r="A22" s="239">
        <v>20</v>
      </c>
      <c r="B22" s="5" t="s">
        <v>119</v>
      </c>
      <c r="C22" t="s">
        <v>257</v>
      </c>
    </row>
    <row r="23" spans="1:3" x14ac:dyDescent="0.25">
      <c r="A23" s="239">
        <v>54</v>
      </c>
      <c r="B23" s="12" t="s">
        <v>98</v>
      </c>
      <c r="C23" t="s">
        <v>504</v>
      </c>
    </row>
    <row r="24" spans="1:3" x14ac:dyDescent="0.25">
      <c r="A24" s="239">
        <v>10</v>
      </c>
      <c r="B24" s="5" t="s">
        <v>104</v>
      </c>
      <c r="C24" t="s">
        <v>258</v>
      </c>
    </row>
    <row r="25" spans="1:3" x14ac:dyDescent="0.25">
      <c r="A25" s="239">
        <v>21</v>
      </c>
      <c r="B25" s="5" t="s">
        <v>120</v>
      </c>
      <c r="C25" t="s">
        <v>254</v>
      </c>
    </row>
    <row r="26" spans="1:3" x14ac:dyDescent="0.25">
      <c r="A26" s="239">
        <v>40</v>
      </c>
      <c r="B26" s="12" t="s">
        <v>92</v>
      </c>
      <c r="C26" t="s">
        <v>502</v>
      </c>
    </row>
    <row r="27" spans="1:3" x14ac:dyDescent="0.25">
      <c r="A27" s="239">
        <v>22</v>
      </c>
      <c r="B27" s="5" t="s">
        <v>121</v>
      </c>
      <c r="C27" t="s">
        <v>250</v>
      </c>
    </row>
    <row r="28" spans="1:3" x14ac:dyDescent="0.25">
      <c r="A28" s="239">
        <v>53</v>
      </c>
      <c r="B28" s="12" t="s">
        <v>122</v>
      </c>
      <c r="C28" t="s">
        <v>503</v>
      </c>
    </row>
    <row r="29" spans="1:3" x14ac:dyDescent="0.25">
      <c r="A29" s="239">
        <v>23</v>
      </c>
      <c r="B29" s="5" t="s">
        <v>123</v>
      </c>
      <c r="C29" t="s">
        <v>180</v>
      </c>
    </row>
    <row r="30" spans="1:3" x14ac:dyDescent="0.25">
      <c r="A30" s="239">
        <v>3</v>
      </c>
      <c r="B30" s="5" t="s">
        <v>85</v>
      </c>
      <c r="C30" t="s">
        <v>177</v>
      </c>
    </row>
    <row r="31" spans="1:3" x14ac:dyDescent="0.25">
      <c r="A31" s="239">
        <v>38</v>
      </c>
      <c r="B31" s="12" t="s">
        <v>89</v>
      </c>
      <c r="C31" t="s">
        <v>502</v>
      </c>
    </row>
    <row r="32" spans="1:3" x14ac:dyDescent="0.25">
      <c r="A32" s="239">
        <v>24</v>
      </c>
      <c r="B32" s="5" t="s">
        <v>124</v>
      </c>
      <c r="C32" t="s">
        <v>251</v>
      </c>
    </row>
    <row r="33" spans="1:3" x14ac:dyDescent="0.25">
      <c r="A33" s="239">
        <v>46</v>
      </c>
      <c r="B33" s="12" t="s">
        <v>103</v>
      </c>
      <c r="C33" t="s">
        <v>502</v>
      </c>
    </row>
    <row r="34" spans="1:3" x14ac:dyDescent="0.25">
      <c r="A34" s="239">
        <v>25</v>
      </c>
      <c r="B34" s="5" t="s">
        <v>125</v>
      </c>
      <c r="C34" t="s">
        <v>254</v>
      </c>
    </row>
    <row r="35" spans="1:3" x14ac:dyDescent="0.25">
      <c r="A35" s="239">
        <v>60</v>
      </c>
      <c r="B35" s="12" t="s">
        <v>126</v>
      </c>
      <c r="C35" t="s">
        <v>505</v>
      </c>
    </row>
    <row r="36" spans="1:3" x14ac:dyDescent="0.25">
      <c r="A36" s="239">
        <v>26</v>
      </c>
      <c r="B36" s="5" t="s">
        <v>127</v>
      </c>
      <c r="C36" t="s">
        <v>250</v>
      </c>
    </row>
    <row r="37" spans="1:3" x14ac:dyDescent="0.25">
      <c r="A37" s="239">
        <v>1</v>
      </c>
      <c r="B37" s="5" t="s">
        <v>81</v>
      </c>
      <c r="C37" t="s">
        <v>249</v>
      </c>
    </row>
    <row r="38" spans="1:3" x14ac:dyDescent="0.25">
      <c r="A38" s="239">
        <v>27</v>
      </c>
      <c r="B38" s="5" t="s">
        <v>128</v>
      </c>
      <c r="C38" t="s">
        <v>178</v>
      </c>
    </row>
    <row r="39" spans="1:3" x14ac:dyDescent="0.25">
      <c r="A39" s="239">
        <v>28</v>
      </c>
      <c r="B39" s="5" t="s">
        <v>129</v>
      </c>
      <c r="C39" s="238" t="s">
        <v>252</v>
      </c>
    </row>
    <row r="40" spans="1:3" x14ac:dyDescent="0.25">
      <c r="A40" s="239">
        <v>29</v>
      </c>
      <c r="B40" s="5" t="s">
        <v>130</v>
      </c>
      <c r="C40" t="s">
        <v>180</v>
      </c>
    </row>
    <row r="41" spans="1:3" x14ac:dyDescent="0.25">
      <c r="A41" s="239">
        <v>30</v>
      </c>
      <c r="B41" s="5" t="s">
        <v>131</v>
      </c>
      <c r="C41" s="238" t="s">
        <v>180</v>
      </c>
    </row>
    <row r="42" spans="1:3" x14ac:dyDescent="0.25">
      <c r="A42" s="239">
        <v>31</v>
      </c>
      <c r="B42" s="5" t="s">
        <v>133</v>
      </c>
      <c r="C42" s="238" t="s">
        <v>257</v>
      </c>
    </row>
    <row r="43" spans="1:3" x14ac:dyDescent="0.25">
      <c r="A43" s="239">
        <v>63</v>
      </c>
      <c r="B43" s="12" t="s">
        <v>134</v>
      </c>
      <c r="C43" s="238" t="s">
        <v>506</v>
      </c>
    </row>
    <row r="44" spans="1:3" x14ac:dyDescent="0.25">
      <c r="A44" s="239">
        <v>9</v>
      </c>
      <c r="B44" s="5" t="s">
        <v>96</v>
      </c>
      <c r="C44" s="238" t="s">
        <v>254</v>
      </c>
    </row>
    <row r="45" spans="1:3" x14ac:dyDescent="0.25">
      <c r="A45" s="239">
        <v>55</v>
      </c>
      <c r="B45" s="12" t="s">
        <v>135</v>
      </c>
      <c r="C45" s="238" t="s">
        <v>504</v>
      </c>
    </row>
    <row r="46" spans="1:3" x14ac:dyDescent="0.25">
      <c r="A46" s="239">
        <v>48</v>
      </c>
      <c r="B46" s="12" t="s">
        <v>132</v>
      </c>
      <c r="C46" s="238" t="s">
        <v>259</v>
      </c>
    </row>
    <row r="47" spans="1:3" x14ac:dyDescent="0.25">
      <c r="A47" s="239">
        <v>32</v>
      </c>
      <c r="B47" s="5" t="s">
        <v>136</v>
      </c>
      <c r="C47" s="238" t="s">
        <v>251</v>
      </c>
    </row>
    <row r="48" spans="1:3" x14ac:dyDescent="0.25">
      <c r="A48" s="239">
        <v>33</v>
      </c>
      <c r="B48" s="5" t="s">
        <v>137</v>
      </c>
      <c r="C48" s="238" t="s">
        <v>252</v>
      </c>
    </row>
    <row r="49" spans="1:3" x14ac:dyDescent="0.25">
      <c r="A49" s="239">
        <v>34</v>
      </c>
      <c r="B49" s="5" t="s">
        <v>138</v>
      </c>
      <c r="C49" t="s">
        <v>253</v>
      </c>
    </row>
    <row r="50" spans="1:3" x14ac:dyDescent="0.25">
      <c r="A50" s="239">
        <v>37</v>
      </c>
      <c r="B50" s="12" t="s">
        <v>84</v>
      </c>
      <c r="C50" t="s">
        <v>502</v>
      </c>
    </row>
    <row r="51" spans="1:3" x14ac:dyDescent="0.25">
      <c r="A51" s="239">
        <v>51</v>
      </c>
      <c r="B51" s="12" t="s">
        <v>99</v>
      </c>
      <c r="C51" s="238" t="s">
        <v>503</v>
      </c>
    </row>
    <row r="52" spans="1:3" x14ac:dyDescent="0.25">
      <c r="A52" s="239">
        <v>64</v>
      </c>
      <c r="B52" s="12" t="s">
        <v>139</v>
      </c>
      <c r="C52" s="238" t="s">
        <v>505</v>
      </c>
    </row>
    <row r="53" spans="1:3" x14ac:dyDescent="0.25">
      <c r="A53" s="239">
        <v>12</v>
      </c>
      <c r="B53" s="5" t="s">
        <v>106</v>
      </c>
      <c r="C53" s="238" t="s">
        <v>258</v>
      </c>
    </row>
    <row r="54" spans="1:3" x14ac:dyDescent="0.25">
      <c r="A54" s="239">
        <v>65</v>
      </c>
      <c r="B54" s="12" t="s">
        <v>140</v>
      </c>
      <c r="C54" s="238" t="s">
        <v>505</v>
      </c>
    </row>
    <row r="55" spans="1:3" x14ac:dyDescent="0.25">
      <c r="A55" s="239">
        <v>35</v>
      </c>
      <c r="B55" s="5" t="s">
        <v>141</v>
      </c>
      <c r="C55" t="s">
        <v>249</v>
      </c>
    </row>
    <row r="56" spans="1:3" x14ac:dyDescent="0.25">
      <c r="A56" s="239">
        <v>43</v>
      </c>
      <c r="B56" s="12" t="s">
        <v>101</v>
      </c>
      <c r="C56" s="238" t="s">
        <v>502</v>
      </c>
    </row>
    <row r="57" spans="1:3" x14ac:dyDescent="0.25">
      <c r="A57" s="239">
        <v>66</v>
      </c>
      <c r="B57" s="12" t="s">
        <v>142</v>
      </c>
      <c r="C57" t="s">
        <v>505</v>
      </c>
    </row>
    <row r="58" spans="1:3" x14ac:dyDescent="0.25">
      <c r="A58" s="239">
        <v>42</v>
      </c>
      <c r="B58" s="12" t="s">
        <v>100</v>
      </c>
      <c r="C58" t="s">
        <v>502</v>
      </c>
    </row>
    <row r="59" spans="1:3" x14ac:dyDescent="0.25">
      <c r="A59" s="239">
        <v>11</v>
      </c>
      <c r="B59" s="5" t="s">
        <v>105</v>
      </c>
      <c r="C59" s="238" t="s">
        <v>258</v>
      </c>
    </row>
    <row r="60" spans="1:3" x14ac:dyDescent="0.25">
      <c r="A60" s="239">
        <v>50</v>
      </c>
      <c r="B60" s="12" t="s">
        <v>143</v>
      </c>
      <c r="C60" s="238" t="s">
        <v>503</v>
      </c>
    </row>
    <row r="61" spans="1:3" x14ac:dyDescent="0.25">
      <c r="A61" s="239">
        <v>45</v>
      </c>
      <c r="B61" s="12" t="s">
        <v>144</v>
      </c>
      <c r="C61" s="238" t="s">
        <v>502</v>
      </c>
    </row>
    <row r="62" spans="1:3" x14ac:dyDescent="0.25">
      <c r="A62" s="239">
        <v>49</v>
      </c>
      <c r="B62" s="12" t="s">
        <v>91</v>
      </c>
      <c r="C62" s="238" t="s">
        <v>503</v>
      </c>
    </row>
    <row r="63" spans="1:3" x14ac:dyDescent="0.25">
      <c r="A63" s="239">
        <v>4</v>
      </c>
      <c r="B63" s="5" t="s">
        <v>86</v>
      </c>
      <c r="C63" t="s">
        <v>252</v>
      </c>
    </row>
    <row r="64" spans="1:3" x14ac:dyDescent="0.25">
      <c r="A64" s="239">
        <v>2</v>
      </c>
      <c r="B64" s="5" t="s">
        <v>83</v>
      </c>
      <c r="C64" t="s">
        <v>180</v>
      </c>
    </row>
    <row r="65" spans="1:3" x14ac:dyDescent="0.25">
      <c r="A65" s="239">
        <v>36</v>
      </c>
      <c r="B65" s="5" t="s">
        <v>145</v>
      </c>
      <c r="C65" s="238" t="s">
        <v>257</v>
      </c>
    </row>
    <row r="66" spans="1:3" x14ac:dyDescent="0.25">
      <c r="A66" s="239">
        <v>62</v>
      </c>
      <c r="B66" s="12" t="s">
        <v>146</v>
      </c>
      <c r="C66" s="238" t="s">
        <v>259</v>
      </c>
    </row>
    <row r="67" spans="1:3" x14ac:dyDescent="0.25">
      <c r="A67" s="239">
        <v>61</v>
      </c>
      <c r="B67" s="12" t="s">
        <v>147</v>
      </c>
      <c r="C67" s="238" t="s">
        <v>505</v>
      </c>
    </row>
  </sheetData>
  <autoFilter ref="A1:C67">
    <sortState ref="A2:C67">
      <sortCondition ref="B1:B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>
      <selection activeCell="B4" sqref="B4"/>
    </sheetView>
  </sheetViews>
  <sheetFormatPr defaultColWidth="11.42578125" defaultRowHeight="15" x14ac:dyDescent="0.25"/>
  <cols>
    <col min="2" max="2" width="22.42578125" customWidth="1"/>
  </cols>
  <sheetData>
    <row r="2" spans="1:3" x14ac:dyDescent="0.25">
      <c r="A2" t="s">
        <v>525</v>
      </c>
      <c r="B2" t="s">
        <v>508</v>
      </c>
      <c r="C2" t="s">
        <v>509</v>
      </c>
    </row>
    <row r="3" spans="1:3" x14ac:dyDescent="0.25">
      <c r="A3">
        <v>1</v>
      </c>
      <c r="B3" t="s">
        <v>510</v>
      </c>
      <c r="C3" t="s">
        <v>511</v>
      </c>
    </row>
    <row r="4" spans="1:3" x14ac:dyDescent="0.25">
      <c r="A4">
        <v>2</v>
      </c>
      <c r="B4" t="s">
        <v>521</v>
      </c>
      <c r="C4" t="s">
        <v>523</v>
      </c>
    </row>
    <row r="5" spans="1:3" x14ac:dyDescent="0.25">
      <c r="A5">
        <v>3</v>
      </c>
      <c r="B5" t="s">
        <v>522</v>
      </c>
      <c r="C5" t="s">
        <v>524</v>
      </c>
    </row>
    <row r="6" spans="1:3" x14ac:dyDescent="0.25">
      <c r="A6">
        <v>4</v>
      </c>
      <c r="B6" t="s">
        <v>514</v>
      </c>
      <c r="C6" t="s">
        <v>515</v>
      </c>
    </row>
    <row r="7" spans="1:3" x14ac:dyDescent="0.25">
      <c r="A7">
        <v>5</v>
      </c>
      <c r="B7" t="s">
        <v>516</v>
      </c>
      <c r="C7" s="240" t="s">
        <v>515</v>
      </c>
    </row>
    <row r="8" spans="1:3" x14ac:dyDescent="0.25">
      <c r="A8">
        <v>6</v>
      </c>
      <c r="B8" t="s">
        <v>512</v>
      </c>
      <c r="C8" s="240" t="s">
        <v>513</v>
      </c>
    </row>
    <row r="9" spans="1:3" x14ac:dyDescent="0.25">
      <c r="A9">
        <v>7</v>
      </c>
      <c r="B9" t="s">
        <v>517</v>
      </c>
      <c r="C9" s="240" t="s">
        <v>513</v>
      </c>
    </row>
    <row r="10" spans="1:3" x14ac:dyDescent="0.25">
      <c r="A10">
        <v>8</v>
      </c>
      <c r="B10" t="s">
        <v>520</v>
      </c>
      <c r="C10" s="240" t="s">
        <v>513</v>
      </c>
    </row>
    <row r="11" spans="1:3" x14ac:dyDescent="0.25">
      <c r="A11">
        <v>9</v>
      </c>
      <c r="B11" t="s">
        <v>518</v>
      </c>
      <c r="C11" s="240" t="s">
        <v>513</v>
      </c>
    </row>
    <row r="12" spans="1:3" x14ac:dyDescent="0.25">
      <c r="A12">
        <v>10</v>
      </c>
      <c r="B12" t="s">
        <v>519</v>
      </c>
      <c r="C12" s="240" t="s">
        <v>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B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14.42578125" customWidth="1"/>
    <col min="3" max="3" width="5.7109375" customWidth="1"/>
    <col min="4" max="4" width="2.28515625" customWidth="1"/>
    <col min="5" max="5" width="7" customWidth="1"/>
    <col min="6" max="6" width="8.28515625" customWidth="1"/>
    <col min="7" max="7" width="11.7109375" customWidth="1"/>
    <col min="8" max="8" width="12.42578125" customWidth="1"/>
    <col min="9" max="9" width="11.42578125" customWidth="1"/>
    <col min="10" max="10" width="11.7109375" customWidth="1"/>
    <col min="11" max="11" width="9.140625" customWidth="1"/>
    <col min="12" max="12" width="1.7109375" customWidth="1"/>
    <col min="13" max="13" width="6.140625" customWidth="1"/>
    <col min="14" max="14" width="11.7109375" customWidth="1"/>
    <col min="15" max="15" width="2.28515625" hidden="1" customWidth="1"/>
    <col min="16" max="17" width="7" hidden="1" customWidth="1"/>
    <col min="18" max="18" width="9" hidden="1" customWidth="1"/>
    <col min="19" max="19" width="9.140625" customWidth="1"/>
    <col min="20" max="20" width="11.42578125" customWidth="1"/>
    <col min="21" max="21" width="11.7109375" customWidth="1"/>
    <col min="22" max="22" width="9.140625" hidden="1" customWidth="1"/>
    <col min="23" max="23" width="1.42578125" hidden="1" customWidth="1"/>
    <col min="24" max="24" width="5.42578125" hidden="1" customWidth="1"/>
    <col min="25" max="25" width="9" hidden="1" customWidth="1"/>
    <col min="26" max="26" width="2.42578125" customWidth="1"/>
    <col min="27" max="29" width="4.42578125" customWidth="1"/>
    <col min="30" max="50" width="5.140625" customWidth="1"/>
    <col min="51" max="54" width="9.140625" customWidth="1"/>
  </cols>
  <sheetData>
    <row r="1" spans="1:54" ht="1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>
        <v>1</v>
      </c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spans="1:54" ht="15" customHeight="1" x14ac:dyDescent="0.25">
      <c r="A2" s="377" t="s">
        <v>260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2"/>
      <c r="AY2" s="35"/>
      <c r="AZ2" s="35"/>
      <c r="BA2" s="35"/>
      <c r="BB2" s="35"/>
    </row>
    <row r="3" spans="1:54" ht="15" customHeight="1" x14ac:dyDescent="0.25">
      <c r="A3" s="293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94"/>
      <c r="AY3" s="35"/>
      <c r="AZ3" s="35"/>
      <c r="BA3" s="35"/>
      <c r="BB3" s="35"/>
    </row>
    <row r="4" spans="1:54" ht="1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7" t="s">
        <v>261</v>
      </c>
      <c r="L4" s="35"/>
      <c r="M4" s="36"/>
      <c r="N4" s="36"/>
      <c r="O4" s="36"/>
      <c r="P4" s="36"/>
      <c r="Q4" s="36"/>
      <c r="R4" s="36"/>
      <c r="S4" s="38" t="s">
        <v>262</v>
      </c>
      <c r="T4" s="36"/>
      <c r="U4" s="36"/>
      <c r="V4" s="36"/>
      <c r="W4" s="36"/>
      <c r="X4" s="36"/>
      <c r="Y4" s="36"/>
      <c r="Z4" s="36"/>
      <c r="AA4" s="36"/>
      <c r="AB4" s="35"/>
      <c r="AC4" s="35"/>
      <c r="AD4" s="38" t="s">
        <v>263</v>
      </c>
      <c r="AE4" s="36"/>
      <c r="AF4" s="36"/>
      <c r="AG4" s="38" t="s">
        <v>264</v>
      </c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5"/>
      <c r="AZ4" s="35"/>
      <c r="BA4" s="35"/>
      <c r="BB4" s="35"/>
    </row>
    <row r="5" spans="1:54" ht="15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7" t="s">
        <v>265</v>
      </c>
      <c r="L5" s="35"/>
      <c r="M5" s="36"/>
      <c r="N5" s="36"/>
      <c r="O5" s="36"/>
      <c r="P5" s="36"/>
      <c r="Q5" s="36"/>
      <c r="R5" s="36"/>
      <c r="S5" s="38" t="s">
        <v>266</v>
      </c>
      <c r="T5" s="36"/>
      <c r="U5" s="36"/>
      <c r="V5" s="36"/>
      <c r="W5" s="36"/>
      <c r="X5" s="36"/>
      <c r="Y5" s="36"/>
      <c r="Z5" s="35"/>
      <c r="AA5" s="35"/>
      <c r="AB5" s="35"/>
      <c r="AC5" s="35"/>
      <c r="AD5" s="38" t="s">
        <v>267</v>
      </c>
      <c r="AE5" s="35"/>
      <c r="AF5" s="35"/>
      <c r="AG5" s="38" t="s">
        <v>268</v>
      </c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spans="1:54" ht="15" customHeight="1" x14ac:dyDescent="0.25">
      <c r="A6" s="35"/>
      <c r="B6" s="38"/>
      <c r="C6" s="38"/>
      <c r="D6" s="38"/>
      <c r="E6" s="35"/>
      <c r="F6" s="38"/>
      <c r="G6" s="38"/>
      <c r="H6" s="38"/>
      <c r="I6" s="38"/>
      <c r="J6" s="35"/>
      <c r="K6" s="35"/>
      <c r="L6" s="35"/>
      <c r="M6" s="35"/>
      <c r="N6" s="35"/>
      <c r="O6" s="35"/>
      <c r="P6" s="35"/>
      <c r="Q6" s="35"/>
      <c r="R6" s="35"/>
      <c r="S6" s="38"/>
      <c r="T6" s="35"/>
      <c r="U6" s="38"/>
      <c r="V6" s="38"/>
      <c r="W6" s="35"/>
      <c r="X6" s="35"/>
      <c r="Y6" s="38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</row>
    <row r="7" spans="1:54" ht="15" customHeight="1" x14ac:dyDescent="0.25">
      <c r="A7" s="39" t="s">
        <v>269</v>
      </c>
      <c r="B7" s="38"/>
      <c r="C7" s="38"/>
      <c r="D7" s="38"/>
      <c r="E7" s="35"/>
      <c r="F7" s="38"/>
      <c r="G7" s="38"/>
      <c r="H7" s="38"/>
      <c r="I7" s="38"/>
      <c r="J7" s="35"/>
      <c r="K7" s="35"/>
      <c r="L7" s="35"/>
      <c r="M7" s="35"/>
      <c r="N7" s="35"/>
      <c r="O7" s="35"/>
      <c r="P7" s="35"/>
      <c r="Q7" s="35"/>
      <c r="R7" s="35"/>
      <c r="S7" s="38"/>
      <c r="T7" s="35"/>
      <c r="U7" s="38"/>
      <c r="V7" s="38"/>
      <c r="W7" s="35"/>
      <c r="X7" s="35"/>
      <c r="Y7" s="38"/>
      <c r="Z7" s="35"/>
      <c r="AA7" s="39" t="s">
        <v>270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40" t="s">
        <v>271</v>
      </c>
      <c r="AY7" s="35"/>
      <c r="AZ7" s="35"/>
      <c r="BA7" s="35"/>
      <c r="BB7" s="35"/>
    </row>
    <row r="8" spans="1:54" ht="3.7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</row>
    <row r="9" spans="1:54" ht="38.25" customHeight="1" x14ac:dyDescent="0.25">
      <c r="A9" s="41"/>
      <c r="B9" s="42"/>
      <c r="C9" s="42"/>
      <c r="D9" s="389" t="s">
        <v>272</v>
      </c>
      <c r="E9" s="379"/>
      <c r="F9" s="379"/>
      <c r="G9" s="379"/>
      <c r="H9" s="379"/>
      <c r="I9" s="379"/>
      <c r="J9" s="379"/>
      <c r="K9" s="379"/>
      <c r="L9" s="379"/>
      <c r="M9" s="379"/>
      <c r="N9" s="380"/>
      <c r="O9" s="389" t="s">
        <v>273</v>
      </c>
      <c r="P9" s="379"/>
      <c r="Q9" s="379"/>
      <c r="R9" s="379"/>
      <c r="S9" s="379"/>
      <c r="T9" s="379"/>
      <c r="U9" s="380"/>
      <c r="V9" s="43"/>
      <c r="W9" s="43"/>
      <c r="X9" s="43"/>
      <c r="Y9" s="44"/>
      <c r="Z9" s="35"/>
      <c r="AA9" s="390" t="s">
        <v>274</v>
      </c>
      <c r="AB9" s="391" t="s">
        <v>275</v>
      </c>
      <c r="AC9" s="361"/>
      <c r="AD9" s="394" t="s">
        <v>276</v>
      </c>
      <c r="AE9" s="365"/>
      <c r="AF9" s="365"/>
      <c r="AG9" s="365"/>
      <c r="AH9" s="365"/>
      <c r="AI9" s="365"/>
      <c r="AJ9" s="365"/>
      <c r="AK9" s="361"/>
      <c r="AL9" s="392" t="s">
        <v>277</v>
      </c>
      <c r="AM9" s="379"/>
      <c r="AN9" s="379"/>
      <c r="AO9" s="379"/>
      <c r="AP9" s="379"/>
      <c r="AQ9" s="379"/>
      <c r="AR9" s="379"/>
      <c r="AS9" s="379"/>
      <c r="AT9" s="379"/>
      <c r="AU9" s="379"/>
      <c r="AV9" s="379"/>
      <c r="AW9" s="379"/>
      <c r="AX9" s="380"/>
      <c r="AY9" s="35"/>
      <c r="AZ9" s="35"/>
      <c r="BA9" s="35"/>
      <c r="BB9" s="35"/>
    </row>
    <row r="10" spans="1:54" ht="12.75" customHeight="1" x14ac:dyDescent="0.25">
      <c r="A10" s="327" t="s">
        <v>278</v>
      </c>
      <c r="B10" s="329" t="s">
        <v>279</v>
      </c>
      <c r="C10" s="330" t="s">
        <v>280</v>
      </c>
      <c r="D10" s="358" t="s">
        <v>281</v>
      </c>
      <c r="E10" s="351"/>
      <c r="F10" s="351"/>
      <c r="G10" s="352"/>
      <c r="H10" s="359" t="s">
        <v>282</v>
      </c>
      <c r="I10" s="351"/>
      <c r="J10" s="352"/>
      <c r="K10" s="359" t="s">
        <v>283</v>
      </c>
      <c r="L10" s="351"/>
      <c r="M10" s="351"/>
      <c r="N10" s="368"/>
      <c r="O10" s="358" t="s">
        <v>284</v>
      </c>
      <c r="P10" s="351"/>
      <c r="Q10" s="351"/>
      <c r="R10" s="352"/>
      <c r="S10" s="359" t="s">
        <v>282</v>
      </c>
      <c r="T10" s="351"/>
      <c r="U10" s="368"/>
      <c r="V10" s="367" t="s">
        <v>285</v>
      </c>
      <c r="W10" s="351"/>
      <c r="X10" s="351"/>
      <c r="Y10" s="368"/>
      <c r="Z10" s="35"/>
      <c r="AA10" s="323"/>
      <c r="AB10" s="362"/>
      <c r="AC10" s="276"/>
      <c r="AD10" s="362"/>
      <c r="AE10" s="275"/>
      <c r="AF10" s="275"/>
      <c r="AG10" s="275"/>
      <c r="AH10" s="275"/>
      <c r="AI10" s="275"/>
      <c r="AJ10" s="275"/>
      <c r="AK10" s="276"/>
      <c r="AL10" s="395" t="s">
        <v>286</v>
      </c>
      <c r="AM10" s="272"/>
      <c r="AN10" s="273"/>
      <c r="AO10" s="393" t="s">
        <v>287</v>
      </c>
      <c r="AP10" s="272"/>
      <c r="AQ10" s="272"/>
      <c r="AR10" s="272"/>
      <c r="AS10" s="272"/>
      <c r="AT10" s="272"/>
      <c r="AU10" s="272"/>
      <c r="AV10" s="272"/>
      <c r="AW10" s="272"/>
      <c r="AX10" s="371"/>
      <c r="AY10" s="35"/>
      <c r="AZ10" s="35"/>
      <c r="BA10" s="35"/>
      <c r="BB10" s="35"/>
    </row>
    <row r="11" spans="1:54" ht="30" x14ac:dyDescent="0.25">
      <c r="A11" s="328"/>
      <c r="B11" s="254"/>
      <c r="C11" s="258"/>
      <c r="D11" s="373" t="s">
        <v>288</v>
      </c>
      <c r="E11" s="374"/>
      <c r="F11" s="45" t="s">
        <v>275</v>
      </c>
      <c r="G11" s="46" t="s">
        <v>289</v>
      </c>
      <c r="H11" s="47" t="s">
        <v>288</v>
      </c>
      <c r="I11" s="45" t="s">
        <v>275</v>
      </c>
      <c r="J11" s="46" t="s">
        <v>289</v>
      </c>
      <c r="K11" s="47" t="s">
        <v>288</v>
      </c>
      <c r="L11" s="375" t="s">
        <v>275</v>
      </c>
      <c r="M11" s="374"/>
      <c r="N11" s="48" t="s">
        <v>289</v>
      </c>
      <c r="O11" s="373" t="s">
        <v>288</v>
      </c>
      <c r="P11" s="374"/>
      <c r="Q11" s="45" t="s">
        <v>275</v>
      </c>
      <c r="R11" s="46" t="s">
        <v>289</v>
      </c>
      <c r="S11" s="47" t="s">
        <v>288</v>
      </c>
      <c r="T11" s="45" t="s">
        <v>275</v>
      </c>
      <c r="U11" s="48" t="s">
        <v>289</v>
      </c>
      <c r="V11" s="49" t="s">
        <v>288</v>
      </c>
      <c r="W11" s="376" t="s">
        <v>275</v>
      </c>
      <c r="X11" s="374"/>
      <c r="Y11" s="50" t="s">
        <v>289</v>
      </c>
      <c r="Z11" s="35"/>
      <c r="AA11" s="328"/>
      <c r="AB11" s="363"/>
      <c r="AC11" s="364"/>
      <c r="AD11" s="363"/>
      <c r="AE11" s="366"/>
      <c r="AF11" s="366"/>
      <c r="AG11" s="366"/>
      <c r="AH11" s="366"/>
      <c r="AI11" s="366"/>
      <c r="AJ11" s="366"/>
      <c r="AK11" s="364"/>
      <c r="AL11" s="363"/>
      <c r="AM11" s="366"/>
      <c r="AN11" s="364"/>
      <c r="AO11" s="363"/>
      <c r="AP11" s="366"/>
      <c r="AQ11" s="366"/>
      <c r="AR11" s="366"/>
      <c r="AS11" s="366"/>
      <c r="AT11" s="366"/>
      <c r="AU11" s="366"/>
      <c r="AV11" s="366"/>
      <c r="AW11" s="366"/>
      <c r="AX11" s="372"/>
      <c r="AY11" s="35"/>
      <c r="AZ11" s="35"/>
      <c r="BA11" s="35"/>
      <c r="BB11" s="35"/>
    </row>
    <row r="12" spans="1:54" ht="15" customHeight="1" x14ac:dyDescent="0.25">
      <c r="A12" s="331" t="s">
        <v>290</v>
      </c>
      <c r="B12" s="51" t="s">
        <v>291</v>
      </c>
      <c r="C12" s="52">
        <v>1</v>
      </c>
      <c r="D12" s="402" t="s">
        <v>292</v>
      </c>
      <c r="E12" s="346"/>
      <c r="F12" s="346"/>
      <c r="G12" s="403"/>
      <c r="H12" s="406" t="s">
        <v>293</v>
      </c>
      <c r="I12" s="346"/>
      <c r="J12" s="403"/>
      <c r="K12" s="406" t="s">
        <v>294</v>
      </c>
      <c r="L12" s="346"/>
      <c r="M12" s="346"/>
      <c r="N12" s="347"/>
      <c r="O12" s="402" t="s">
        <v>292</v>
      </c>
      <c r="P12" s="346"/>
      <c r="Q12" s="346"/>
      <c r="R12" s="403"/>
      <c r="S12" s="406" t="s">
        <v>293</v>
      </c>
      <c r="T12" s="346"/>
      <c r="U12" s="403"/>
      <c r="V12" s="345" t="s">
        <v>294</v>
      </c>
      <c r="W12" s="346"/>
      <c r="X12" s="346"/>
      <c r="Y12" s="347"/>
      <c r="Z12" s="35"/>
      <c r="AA12" s="53">
        <v>1</v>
      </c>
      <c r="AB12" s="308" t="e">
        <f>VLOOKUP(RPL,RESTRIBUSI,2)</f>
        <v>#REF!</v>
      </c>
      <c r="AC12" s="309"/>
      <c r="AD12" s="396" t="e">
        <f>VLOOKUP(RPL,RESTRIBUSI,3)</f>
        <v>#REF!</v>
      </c>
      <c r="AE12" s="349"/>
      <c r="AF12" s="349"/>
      <c r="AG12" s="349"/>
      <c r="AH12" s="349"/>
      <c r="AI12" s="349"/>
      <c r="AJ12" s="349"/>
      <c r="AK12" s="309"/>
      <c r="AL12" s="308" t="e">
        <f>VLOOKUP(RPL,RESTRIBUSI,4)</f>
        <v>#REF!</v>
      </c>
      <c r="AM12" s="349"/>
      <c r="AN12" s="309"/>
      <c r="AO12" s="397" t="e">
        <f>VLOOKUP(RPL,RESTRIBUSI,6)</f>
        <v>#REF!</v>
      </c>
      <c r="AP12" s="349"/>
      <c r="AQ12" s="349"/>
      <c r="AR12" s="349"/>
      <c r="AS12" s="349"/>
      <c r="AT12" s="349"/>
      <c r="AU12" s="349"/>
      <c r="AV12" s="349"/>
      <c r="AW12" s="349"/>
      <c r="AX12" s="398"/>
      <c r="AY12" s="35"/>
      <c r="AZ12" s="35"/>
      <c r="BA12" s="35"/>
      <c r="BB12" s="35"/>
    </row>
    <row r="13" spans="1:54" ht="15" customHeight="1" x14ac:dyDescent="0.25">
      <c r="A13" s="323"/>
      <c r="B13" s="54" t="s">
        <v>295</v>
      </c>
      <c r="C13" s="55">
        <v>2</v>
      </c>
      <c r="D13" s="280"/>
      <c r="E13" s="264"/>
      <c r="F13" s="56"/>
      <c r="G13" s="57"/>
      <c r="H13" s="58" t="s">
        <v>296</v>
      </c>
      <c r="I13" s="59" t="s">
        <v>297</v>
      </c>
      <c r="J13" s="60" t="s">
        <v>298</v>
      </c>
      <c r="K13" s="61"/>
      <c r="L13" s="335"/>
      <c r="M13" s="264"/>
      <c r="N13" s="62"/>
      <c r="O13" s="280"/>
      <c r="P13" s="264"/>
      <c r="Q13" s="56"/>
      <c r="R13" s="57"/>
      <c r="S13" s="63" t="s">
        <v>299</v>
      </c>
      <c r="T13" s="64" t="s">
        <v>300</v>
      </c>
      <c r="U13" s="65" t="s">
        <v>301</v>
      </c>
      <c r="V13" s="66"/>
      <c r="W13" s="263"/>
      <c r="X13" s="264"/>
      <c r="Y13" s="67"/>
      <c r="Z13" s="35"/>
      <c r="AA13" s="68">
        <v>2</v>
      </c>
      <c r="AB13" s="308" t="e">
        <f>VLOOKUP(RPL,RESTRIBUSI,2)</f>
        <v>#REF!</v>
      </c>
      <c r="AC13" s="309"/>
      <c r="AD13" s="396" t="e">
        <f>VLOOKUP(RPL,RESTRIBUSI,3)</f>
        <v>#REF!</v>
      </c>
      <c r="AE13" s="349"/>
      <c r="AF13" s="349"/>
      <c r="AG13" s="349"/>
      <c r="AH13" s="349"/>
      <c r="AI13" s="349"/>
      <c r="AJ13" s="349"/>
      <c r="AK13" s="309"/>
      <c r="AL13" s="310"/>
      <c r="AM13" s="242"/>
      <c r="AN13" s="243"/>
      <c r="AO13" s="397" t="e">
        <f>VLOOKUP(RPL,RESTRIBUSI,6)</f>
        <v>#REF!</v>
      </c>
      <c r="AP13" s="349"/>
      <c r="AQ13" s="349"/>
      <c r="AR13" s="349"/>
      <c r="AS13" s="349"/>
      <c r="AT13" s="349"/>
      <c r="AU13" s="349"/>
      <c r="AV13" s="349"/>
      <c r="AW13" s="349"/>
      <c r="AX13" s="398"/>
      <c r="AY13" s="35"/>
      <c r="AZ13" s="35"/>
      <c r="BA13" s="35"/>
      <c r="BB13" s="35"/>
    </row>
    <row r="14" spans="1:54" ht="15" customHeight="1" x14ac:dyDescent="0.25">
      <c r="A14" s="323"/>
      <c r="B14" s="54" t="s">
        <v>302</v>
      </c>
      <c r="C14" s="55">
        <v>3</v>
      </c>
      <c r="D14" s="280"/>
      <c r="E14" s="264"/>
      <c r="F14" s="56"/>
      <c r="G14" s="57"/>
      <c r="H14" s="69" t="s">
        <v>296</v>
      </c>
      <c r="I14" s="70" t="s">
        <v>297</v>
      </c>
      <c r="J14" s="71" t="s">
        <v>298</v>
      </c>
      <c r="K14" s="61"/>
      <c r="L14" s="335"/>
      <c r="M14" s="264"/>
      <c r="N14" s="62"/>
      <c r="O14" s="280"/>
      <c r="P14" s="264"/>
      <c r="Q14" s="56"/>
      <c r="R14" s="57"/>
      <c r="S14" s="63" t="s">
        <v>299</v>
      </c>
      <c r="T14" s="64" t="s">
        <v>300</v>
      </c>
      <c r="U14" s="65" t="s">
        <v>301</v>
      </c>
      <c r="V14" s="66"/>
      <c r="W14" s="263"/>
      <c r="X14" s="264"/>
      <c r="Y14" s="67"/>
      <c r="Z14" s="35"/>
      <c r="AA14" s="68">
        <v>3</v>
      </c>
      <c r="AB14" s="310" t="s">
        <v>303</v>
      </c>
      <c r="AC14" s="243"/>
      <c r="AD14" s="340" t="s">
        <v>304</v>
      </c>
      <c r="AE14" s="242"/>
      <c r="AF14" s="242"/>
      <c r="AG14" s="242"/>
      <c r="AH14" s="242"/>
      <c r="AI14" s="242"/>
      <c r="AJ14" s="242"/>
      <c r="AK14" s="243"/>
      <c r="AL14" s="310"/>
      <c r="AM14" s="242"/>
      <c r="AN14" s="243"/>
      <c r="AO14" s="397"/>
      <c r="AP14" s="349"/>
      <c r="AQ14" s="349"/>
      <c r="AR14" s="349"/>
      <c r="AS14" s="349"/>
      <c r="AT14" s="349"/>
      <c r="AU14" s="349"/>
      <c r="AV14" s="349"/>
      <c r="AW14" s="349"/>
      <c r="AX14" s="398"/>
      <c r="AY14" s="35"/>
      <c r="AZ14" s="35"/>
      <c r="BA14" s="35"/>
      <c r="BB14" s="35"/>
    </row>
    <row r="15" spans="1:54" ht="15" customHeight="1" x14ac:dyDescent="0.25">
      <c r="A15" s="323"/>
      <c r="B15" s="54" t="s">
        <v>305</v>
      </c>
      <c r="C15" s="55">
        <v>4</v>
      </c>
      <c r="D15" s="280"/>
      <c r="E15" s="264"/>
      <c r="F15" s="56"/>
      <c r="G15" s="57"/>
      <c r="H15" s="72" t="s">
        <v>296</v>
      </c>
      <c r="I15" s="56" t="s">
        <v>297</v>
      </c>
      <c r="J15" s="73" t="s">
        <v>298</v>
      </c>
      <c r="K15" s="61"/>
      <c r="L15" s="335"/>
      <c r="M15" s="264"/>
      <c r="N15" s="62"/>
      <c r="O15" s="280"/>
      <c r="P15" s="264"/>
      <c r="Q15" s="56"/>
      <c r="R15" s="57"/>
      <c r="S15" s="63" t="s">
        <v>299</v>
      </c>
      <c r="T15" s="64" t="s">
        <v>300</v>
      </c>
      <c r="U15" s="65" t="s">
        <v>301</v>
      </c>
      <c r="V15" s="66"/>
      <c r="W15" s="263"/>
      <c r="X15" s="264"/>
      <c r="Y15" s="67"/>
      <c r="Z15" s="35"/>
      <c r="AA15" s="68">
        <v>4</v>
      </c>
      <c r="AB15" s="310" t="s">
        <v>306</v>
      </c>
      <c r="AC15" s="243"/>
      <c r="AD15" s="340" t="s">
        <v>307</v>
      </c>
      <c r="AE15" s="242"/>
      <c r="AF15" s="242"/>
      <c r="AG15" s="242"/>
      <c r="AH15" s="242"/>
      <c r="AI15" s="242"/>
      <c r="AJ15" s="242"/>
      <c r="AK15" s="243"/>
      <c r="AL15" s="310"/>
      <c r="AM15" s="242"/>
      <c r="AN15" s="243"/>
      <c r="AO15" s="340"/>
      <c r="AP15" s="242"/>
      <c r="AQ15" s="242"/>
      <c r="AR15" s="242"/>
      <c r="AS15" s="242"/>
      <c r="AT15" s="242"/>
      <c r="AU15" s="242"/>
      <c r="AV15" s="242"/>
      <c r="AW15" s="242"/>
      <c r="AX15" s="385"/>
      <c r="AY15" s="35"/>
      <c r="AZ15" s="35"/>
      <c r="BA15" s="35"/>
      <c r="BB15" s="35"/>
    </row>
    <row r="16" spans="1:54" ht="15" customHeight="1" x14ac:dyDescent="0.25">
      <c r="A16" s="323"/>
      <c r="B16" s="74" t="s">
        <v>308</v>
      </c>
      <c r="C16" s="75"/>
      <c r="D16" s="265"/>
      <c r="E16" s="266"/>
      <c r="F16" s="266"/>
      <c r="G16" s="283"/>
      <c r="H16" s="332" t="s">
        <v>309</v>
      </c>
      <c r="I16" s="266"/>
      <c r="J16" s="333"/>
      <c r="K16" s="339"/>
      <c r="L16" s="266"/>
      <c r="M16" s="266"/>
      <c r="N16" s="267"/>
      <c r="O16" s="265"/>
      <c r="P16" s="266"/>
      <c r="Q16" s="266"/>
      <c r="R16" s="283"/>
      <c r="S16" s="265" t="s">
        <v>309</v>
      </c>
      <c r="T16" s="266"/>
      <c r="U16" s="267"/>
      <c r="V16" s="268"/>
      <c r="W16" s="266"/>
      <c r="X16" s="266"/>
      <c r="Y16" s="267"/>
      <c r="Z16" s="35"/>
      <c r="AA16" s="68">
        <v>5</v>
      </c>
      <c r="AB16" s="310" t="s">
        <v>300</v>
      </c>
      <c r="AC16" s="243"/>
      <c r="AD16" s="340" t="s">
        <v>310</v>
      </c>
      <c r="AE16" s="242"/>
      <c r="AF16" s="242"/>
      <c r="AG16" s="242"/>
      <c r="AH16" s="242"/>
      <c r="AI16" s="242"/>
      <c r="AJ16" s="242"/>
      <c r="AK16" s="243"/>
      <c r="AL16" s="310"/>
      <c r="AM16" s="242"/>
      <c r="AN16" s="243"/>
      <c r="AO16" s="340"/>
      <c r="AP16" s="242"/>
      <c r="AQ16" s="242"/>
      <c r="AR16" s="242"/>
      <c r="AS16" s="242"/>
      <c r="AT16" s="242"/>
      <c r="AU16" s="242"/>
      <c r="AV16" s="242"/>
      <c r="AW16" s="242"/>
      <c r="AX16" s="385"/>
      <c r="AY16" s="35"/>
      <c r="AZ16" s="35"/>
      <c r="BA16" s="35"/>
      <c r="BB16" s="35"/>
    </row>
    <row r="17" spans="1:54" ht="15" customHeight="1" x14ac:dyDescent="0.25">
      <c r="A17" s="323"/>
      <c r="B17" s="76" t="s">
        <v>311</v>
      </c>
      <c r="C17" s="55">
        <v>5</v>
      </c>
      <c r="D17" s="280"/>
      <c r="E17" s="264"/>
      <c r="F17" s="56"/>
      <c r="G17" s="57"/>
      <c r="H17" s="72" t="s">
        <v>296</v>
      </c>
      <c r="I17" s="56" t="s">
        <v>297</v>
      </c>
      <c r="J17" s="73" t="s">
        <v>298</v>
      </c>
      <c r="K17" s="61"/>
      <c r="L17" s="335"/>
      <c r="M17" s="264"/>
      <c r="N17" s="62"/>
      <c r="O17" s="280"/>
      <c r="P17" s="264"/>
      <c r="Q17" s="56"/>
      <c r="R17" s="57"/>
      <c r="S17" s="63" t="s">
        <v>299</v>
      </c>
      <c r="T17" s="64" t="s">
        <v>300</v>
      </c>
      <c r="U17" s="65" t="s">
        <v>301</v>
      </c>
      <c r="V17" s="66"/>
      <c r="W17" s="263"/>
      <c r="X17" s="264"/>
      <c r="Y17" s="67"/>
      <c r="Z17" s="35"/>
      <c r="AA17" s="68">
        <v>6</v>
      </c>
      <c r="AB17" s="310" t="s">
        <v>312</v>
      </c>
      <c r="AC17" s="243"/>
      <c r="AD17" s="340" t="s">
        <v>313</v>
      </c>
      <c r="AE17" s="242"/>
      <c r="AF17" s="242"/>
      <c r="AG17" s="242"/>
      <c r="AH17" s="242"/>
      <c r="AI17" s="242"/>
      <c r="AJ17" s="242"/>
      <c r="AK17" s="243"/>
      <c r="AL17" s="310"/>
      <c r="AM17" s="242"/>
      <c r="AN17" s="243"/>
      <c r="AO17" s="340"/>
      <c r="AP17" s="242"/>
      <c r="AQ17" s="242"/>
      <c r="AR17" s="242"/>
      <c r="AS17" s="242"/>
      <c r="AT17" s="242"/>
      <c r="AU17" s="242"/>
      <c r="AV17" s="242"/>
      <c r="AW17" s="242"/>
      <c r="AX17" s="385"/>
      <c r="AY17" s="35"/>
      <c r="AZ17" s="35"/>
      <c r="BA17" s="35"/>
      <c r="BB17" s="35"/>
    </row>
    <row r="18" spans="1:54" ht="15" customHeight="1" x14ac:dyDescent="0.25">
      <c r="A18" s="323"/>
      <c r="B18" s="76" t="s">
        <v>314</v>
      </c>
      <c r="C18" s="55">
        <v>6</v>
      </c>
      <c r="D18" s="280"/>
      <c r="E18" s="264"/>
      <c r="F18" s="56"/>
      <c r="G18" s="57"/>
      <c r="H18" s="72" t="s">
        <v>315</v>
      </c>
      <c r="I18" s="56" t="s">
        <v>316</v>
      </c>
      <c r="J18" s="73" t="s">
        <v>301</v>
      </c>
      <c r="K18" s="61"/>
      <c r="L18" s="335"/>
      <c r="M18" s="264"/>
      <c r="N18" s="62"/>
      <c r="O18" s="280"/>
      <c r="P18" s="264"/>
      <c r="Q18" s="56"/>
      <c r="R18" s="57"/>
      <c r="S18" s="63" t="s">
        <v>317</v>
      </c>
      <c r="T18" s="64" t="s">
        <v>318</v>
      </c>
      <c r="U18" s="77" t="s">
        <v>301</v>
      </c>
      <c r="V18" s="66"/>
      <c r="W18" s="263"/>
      <c r="X18" s="264"/>
      <c r="Y18" s="67"/>
      <c r="Z18" s="35"/>
      <c r="AA18" s="68">
        <v>7</v>
      </c>
      <c r="AB18" s="310" t="s">
        <v>319</v>
      </c>
      <c r="AC18" s="243"/>
      <c r="AD18" s="340" t="s">
        <v>320</v>
      </c>
      <c r="AE18" s="242"/>
      <c r="AF18" s="242"/>
      <c r="AG18" s="242"/>
      <c r="AH18" s="242"/>
      <c r="AI18" s="242"/>
      <c r="AJ18" s="242"/>
      <c r="AK18" s="243"/>
      <c r="AL18" s="310"/>
      <c r="AM18" s="242"/>
      <c r="AN18" s="243"/>
      <c r="AO18" s="340"/>
      <c r="AP18" s="242"/>
      <c r="AQ18" s="242"/>
      <c r="AR18" s="242"/>
      <c r="AS18" s="242"/>
      <c r="AT18" s="242"/>
      <c r="AU18" s="242"/>
      <c r="AV18" s="242"/>
      <c r="AW18" s="242"/>
      <c r="AX18" s="385"/>
      <c r="AY18" s="35"/>
      <c r="AZ18" s="35"/>
      <c r="BA18" s="35"/>
      <c r="BB18" s="35"/>
    </row>
    <row r="19" spans="1:54" ht="15" customHeight="1" x14ac:dyDescent="0.25">
      <c r="A19" s="323"/>
      <c r="B19" s="76" t="s">
        <v>321</v>
      </c>
      <c r="C19" s="55">
        <v>7</v>
      </c>
      <c r="D19" s="280"/>
      <c r="E19" s="264"/>
      <c r="F19" s="56"/>
      <c r="G19" s="57"/>
      <c r="H19" s="72" t="s">
        <v>315</v>
      </c>
      <c r="I19" s="56" t="s">
        <v>316</v>
      </c>
      <c r="J19" s="60" t="s">
        <v>301</v>
      </c>
      <c r="K19" s="61"/>
      <c r="L19" s="335"/>
      <c r="M19" s="264"/>
      <c r="N19" s="62"/>
      <c r="O19" s="280"/>
      <c r="P19" s="264"/>
      <c r="Q19" s="56"/>
      <c r="R19" s="57"/>
      <c r="S19" s="63" t="s">
        <v>317</v>
      </c>
      <c r="T19" s="64" t="s">
        <v>318</v>
      </c>
      <c r="U19" s="77" t="s">
        <v>301</v>
      </c>
      <c r="V19" s="66"/>
      <c r="W19" s="263"/>
      <c r="X19" s="264"/>
      <c r="Y19" s="67"/>
      <c r="Z19" s="35"/>
      <c r="AA19" s="68">
        <v>8</v>
      </c>
      <c r="AB19" s="310" t="s">
        <v>322</v>
      </c>
      <c r="AC19" s="243"/>
      <c r="AD19" s="340" t="s">
        <v>323</v>
      </c>
      <c r="AE19" s="242"/>
      <c r="AF19" s="242"/>
      <c r="AG19" s="242"/>
      <c r="AH19" s="242"/>
      <c r="AI19" s="242"/>
      <c r="AJ19" s="242"/>
      <c r="AK19" s="243"/>
      <c r="AL19" s="310"/>
      <c r="AM19" s="242"/>
      <c r="AN19" s="243"/>
      <c r="AO19" s="340"/>
      <c r="AP19" s="242"/>
      <c r="AQ19" s="242"/>
      <c r="AR19" s="242"/>
      <c r="AS19" s="242"/>
      <c r="AT19" s="242"/>
      <c r="AU19" s="242"/>
      <c r="AV19" s="242"/>
      <c r="AW19" s="242"/>
      <c r="AX19" s="385"/>
      <c r="AY19" s="35"/>
      <c r="AZ19" s="35"/>
      <c r="BA19" s="35"/>
      <c r="BB19" s="35"/>
    </row>
    <row r="20" spans="1:54" ht="15" customHeight="1" x14ac:dyDescent="0.25">
      <c r="A20" s="323"/>
      <c r="B20" s="78" t="s">
        <v>324</v>
      </c>
      <c r="C20" s="75"/>
      <c r="D20" s="265"/>
      <c r="E20" s="266"/>
      <c r="F20" s="266"/>
      <c r="G20" s="283"/>
      <c r="H20" s="332" t="s">
        <v>325</v>
      </c>
      <c r="I20" s="266"/>
      <c r="J20" s="333"/>
      <c r="K20" s="339"/>
      <c r="L20" s="266"/>
      <c r="M20" s="266"/>
      <c r="N20" s="267"/>
      <c r="O20" s="265"/>
      <c r="P20" s="266"/>
      <c r="Q20" s="266"/>
      <c r="R20" s="283"/>
      <c r="S20" s="265" t="s">
        <v>325</v>
      </c>
      <c r="T20" s="266"/>
      <c r="U20" s="267"/>
      <c r="V20" s="268"/>
      <c r="W20" s="266"/>
      <c r="X20" s="266"/>
      <c r="Y20" s="267"/>
      <c r="Z20" s="35"/>
      <c r="AA20" s="79">
        <v>9</v>
      </c>
      <c r="AB20" s="311" t="s">
        <v>326</v>
      </c>
      <c r="AC20" s="312"/>
      <c r="AD20" s="404" t="s">
        <v>327</v>
      </c>
      <c r="AE20" s="354"/>
      <c r="AF20" s="354"/>
      <c r="AG20" s="354"/>
      <c r="AH20" s="354"/>
      <c r="AI20" s="354"/>
      <c r="AJ20" s="354"/>
      <c r="AK20" s="312"/>
      <c r="AL20" s="350"/>
      <c r="AM20" s="351"/>
      <c r="AN20" s="352"/>
      <c r="AO20" s="386"/>
      <c r="AP20" s="351"/>
      <c r="AQ20" s="351"/>
      <c r="AR20" s="351"/>
      <c r="AS20" s="351"/>
      <c r="AT20" s="351"/>
      <c r="AU20" s="351"/>
      <c r="AV20" s="351"/>
      <c r="AW20" s="351"/>
      <c r="AX20" s="368"/>
      <c r="AY20" s="35"/>
      <c r="AZ20" s="35"/>
      <c r="BA20" s="35"/>
      <c r="BB20" s="35"/>
    </row>
    <row r="21" spans="1:54" ht="15" customHeight="1" x14ac:dyDescent="0.25">
      <c r="A21" s="323"/>
      <c r="B21" s="76" t="s">
        <v>328</v>
      </c>
      <c r="C21" s="55">
        <v>8</v>
      </c>
      <c r="D21" s="280"/>
      <c r="E21" s="264"/>
      <c r="F21" s="56"/>
      <c r="G21" s="57"/>
      <c r="H21" s="72" t="s">
        <v>315</v>
      </c>
      <c r="I21" s="56" t="s">
        <v>316</v>
      </c>
      <c r="J21" s="60" t="s">
        <v>301</v>
      </c>
      <c r="K21" s="61"/>
      <c r="L21" s="335"/>
      <c r="M21" s="264"/>
      <c r="N21" s="62"/>
      <c r="O21" s="280"/>
      <c r="P21" s="264"/>
      <c r="Q21" s="56"/>
      <c r="R21" s="57"/>
      <c r="S21" s="63" t="s">
        <v>329</v>
      </c>
      <c r="T21" s="64" t="s">
        <v>330</v>
      </c>
      <c r="U21" s="77" t="s">
        <v>301</v>
      </c>
      <c r="V21" s="66"/>
      <c r="W21" s="263"/>
      <c r="X21" s="264"/>
      <c r="Y21" s="67"/>
      <c r="Z21" s="35"/>
      <c r="AA21" s="53"/>
      <c r="AB21" s="313"/>
      <c r="AC21" s="314"/>
      <c r="AD21" s="387"/>
      <c r="AE21" s="388"/>
      <c r="AF21" s="388"/>
      <c r="AG21" s="388"/>
      <c r="AH21" s="388"/>
      <c r="AI21" s="388"/>
      <c r="AJ21" s="388"/>
      <c r="AK21" s="314"/>
      <c r="AL21" s="355"/>
      <c r="AM21" s="356"/>
      <c r="AN21" s="357"/>
      <c r="AO21" s="399"/>
      <c r="AP21" s="356"/>
      <c r="AQ21" s="356"/>
      <c r="AR21" s="356"/>
      <c r="AS21" s="356"/>
      <c r="AT21" s="356"/>
      <c r="AU21" s="356"/>
      <c r="AV21" s="356"/>
      <c r="AW21" s="356"/>
      <c r="AX21" s="400"/>
      <c r="AY21" s="35"/>
      <c r="AZ21" s="35"/>
      <c r="BA21" s="35"/>
      <c r="BB21" s="35"/>
    </row>
    <row r="22" spans="1:54" ht="15" customHeight="1" x14ac:dyDescent="0.25">
      <c r="A22" s="324"/>
      <c r="B22" s="76" t="s">
        <v>331</v>
      </c>
      <c r="C22" s="55">
        <v>9</v>
      </c>
      <c r="D22" s="287"/>
      <c r="E22" s="260"/>
      <c r="F22" s="80"/>
      <c r="G22" s="81"/>
      <c r="H22" s="82" t="s">
        <v>315</v>
      </c>
      <c r="I22" s="80" t="s">
        <v>316</v>
      </c>
      <c r="J22" s="83" t="s">
        <v>301</v>
      </c>
      <c r="K22" s="84"/>
      <c r="L22" s="337"/>
      <c r="M22" s="260"/>
      <c r="N22" s="85"/>
      <c r="O22" s="287"/>
      <c r="P22" s="260"/>
      <c r="Q22" s="80"/>
      <c r="R22" s="81"/>
      <c r="S22" s="86" t="s">
        <v>329</v>
      </c>
      <c r="T22" s="87" t="s">
        <v>330</v>
      </c>
      <c r="U22" s="88" t="s">
        <v>301</v>
      </c>
      <c r="V22" s="89"/>
      <c r="W22" s="259"/>
      <c r="X22" s="260"/>
      <c r="Y22" s="90"/>
      <c r="Z22" s="35"/>
      <c r="AA22" s="68">
        <v>10</v>
      </c>
      <c r="AB22" s="310" t="s">
        <v>332</v>
      </c>
      <c r="AC22" s="243"/>
      <c r="AD22" s="340" t="s">
        <v>333</v>
      </c>
      <c r="AE22" s="242"/>
      <c r="AF22" s="242"/>
      <c r="AG22" s="242"/>
      <c r="AH22" s="242"/>
      <c r="AI22" s="242"/>
      <c r="AJ22" s="242"/>
      <c r="AK22" s="243"/>
      <c r="AL22" s="310"/>
      <c r="AM22" s="242"/>
      <c r="AN22" s="243"/>
      <c r="AO22" s="340"/>
      <c r="AP22" s="242"/>
      <c r="AQ22" s="242"/>
      <c r="AR22" s="242"/>
      <c r="AS22" s="242"/>
      <c r="AT22" s="242"/>
      <c r="AU22" s="242"/>
      <c r="AV22" s="242"/>
      <c r="AW22" s="242"/>
      <c r="AX22" s="385"/>
      <c r="AY22" s="35"/>
      <c r="AZ22" s="35"/>
      <c r="BA22" s="35"/>
      <c r="BB22" s="35"/>
    </row>
    <row r="23" spans="1:54" ht="15" customHeight="1" x14ac:dyDescent="0.25">
      <c r="A23" s="322" t="s">
        <v>334</v>
      </c>
      <c r="B23" s="91" t="s">
        <v>291</v>
      </c>
      <c r="C23" s="92">
        <v>1</v>
      </c>
      <c r="D23" s="288"/>
      <c r="E23" s="270"/>
      <c r="F23" s="93"/>
      <c r="G23" s="94"/>
      <c r="H23" s="95" t="s">
        <v>296</v>
      </c>
      <c r="I23" s="93" t="s">
        <v>297</v>
      </c>
      <c r="J23" s="60" t="s">
        <v>298</v>
      </c>
      <c r="K23" s="96"/>
      <c r="L23" s="338"/>
      <c r="M23" s="270"/>
      <c r="N23" s="97"/>
      <c r="O23" s="289"/>
      <c r="P23" s="262"/>
      <c r="Q23" s="93"/>
      <c r="R23" s="94"/>
      <c r="S23" s="98" t="s">
        <v>335</v>
      </c>
      <c r="T23" s="99" t="s">
        <v>306</v>
      </c>
      <c r="U23" s="100" t="s">
        <v>301</v>
      </c>
      <c r="V23" s="101"/>
      <c r="W23" s="261"/>
      <c r="X23" s="262"/>
      <c r="Y23" s="102"/>
      <c r="Z23" s="35"/>
      <c r="AA23" s="68">
        <v>11</v>
      </c>
      <c r="AB23" s="310" t="s">
        <v>330</v>
      </c>
      <c r="AC23" s="243"/>
      <c r="AD23" s="340" t="s">
        <v>336</v>
      </c>
      <c r="AE23" s="242"/>
      <c r="AF23" s="242"/>
      <c r="AG23" s="242"/>
      <c r="AH23" s="242"/>
      <c r="AI23" s="242"/>
      <c r="AJ23" s="242"/>
      <c r="AK23" s="243"/>
      <c r="AL23" s="310"/>
      <c r="AM23" s="242"/>
      <c r="AN23" s="243"/>
      <c r="AO23" s="340"/>
      <c r="AP23" s="242"/>
      <c r="AQ23" s="242"/>
      <c r="AR23" s="242"/>
      <c r="AS23" s="242"/>
      <c r="AT23" s="242"/>
      <c r="AU23" s="242"/>
      <c r="AV23" s="242"/>
      <c r="AW23" s="242"/>
      <c r="AX23" s="385"/>
      <c r="AY23" s="35"/>
      <c r="AZ23" s="35"/>
      <c r="BA23" s="35"/>
      <c r="BB23" s="35"/>
    </row>
    <row r="24" spans="1:54" ht="15" customHeight="1" x14ac:dyDescent="0.25">
      <c r="A24" s="323"/>
      <c r="B24" s="54" t="s">
        <v>295</v>
      </c>
      <c r="C24" s="55">
        <v>2</v>
      </c>
      <c r="D24" s="280"/>
      <c r="E24" s="264"/>
      <c r="F24" s="56"/>
      <c r="G24" s="57"/>
      <c r="H24" s="72" t="s">
        <v>296</v>
      </c>
      <c r="I24" s="56" t="s">
        <v>297</v>
      </c>
      <c r="J24" s="60" t="s">
        <v>298</v>
      </c>
      <c r="K24" s="61"/>
      <c r="L24" s="335"/>
      <c r="M24" s="264"/>
      <c r="N24" s="62"/>
      <c r="O24" s="289"/>
      <c r="P24" s="262"/>
      <c r="Q24" s="93"/>
      <c r="R24" s="94"/>
      <c r="S24" s="63" t="s">
        <v>335</v>
      </c>
      <c r="T24" s="56" t="s">
        <v>306</v>
      </c>
      <c r="U24" s="77" t="s">
        <v>301</v>
      </c>
      <c r="V24" s="101"/>
      <c r="W24" s="261"/>
      <c r="X24" s="262"/>
      <c r="Y24" s="102"/>
      <c r="Z24" s="35"/>
      <c r="AA24" s="68">
        <v>12</v>
      </c>
      <c r="AB24" s="310" t="s">
        <v>297</v>
      </c>
      <c r="AC24" s="243"/>
      <c r="AD24" s="103" t="s">
        <v>337</v>
      </c>
      <c r="AE24" s="104"/>
      <c r="AF24" s="104"/>
      <c r="AG24" s="104"/>
      <c r="AH24" s="104"/>
      <c r="AI24" s="104"/>
      <c r="AJ24" s="104"/>
      <c r="AK24" s="105"/>
      <c r="AL24" s="310"/>
      <c r="AM24" s="242"/>
      <c r="AN24" s="243"/>
      <c r="AO24" s="103"/>
      <c r="AP24" s="104"/>
      <c r="AQ24" s="104"/>
      <c r="AR24" s="104"/>
      <c r="AS24" s="104"/>
      <c r="AT24" s="104"/>
      <c r="AU24" s="104"/>
      <c r="AV24" s="104"/>
      <c r="AW24" s="104"/>
      <c r="AX24" s="106"/>
      <c r="AY24" s="35"/>
      <c r="AZ24" s="35"/>
      <c r="BA24" s="35"/>
      <c r="BB24" s="35"/>
    </row>
    <row r="25" spans="1:54" ht="15" customHeight="1" x14ac:dyDescent="0.25">
      <c r="A25" s="323"/>
      <c r="B25" s="54" t="s">
        <v>302</v>
      </c>
      <c r="C25" s="55">
        <v>3</v>
      </c>
      <c r="D25" s="280" t="s">
        <v>338</v>
      </c>
      <c r="E25" s="264"/>
      <c r="F25" s="56" t="s">
        <v>339</v>
      </c>
      <c r="G25" s="57" t="s">
        <v>301</v>
      </c>
      <c r="H25" s="72"/>
      <c r="I25" s="56"/>
      <c r="J25" s="73"/>
      <c r="K25" s="61" t="s">
        <v>338</v>
      </c>
      <c r="L25" s="335" t="s">
        <v>340</v>
      </c>
      <c r="M25" s="264"/>
      <c r="N25" s="62" t="s">
        <v>301</v>
      </c>
      <c r="O25" s="405"/>
      <c r="P25" s="264"/>
      <c r="Q25" s="70"/>
      <c r="R25" s="57"/>
      <c r="S25" s="63" t="s">
        <v>341</v>
      </c>
      <c r="T25" s="64" t="s">
        <v>319</v>
      </c>
      <c r="U25" s="77" t="s">
        <v>301</v>
      </c>
      <c r="V25" s="66"/>
      <c r="W25" s="263"/>
      <c r="X25" s="264"/>
      <c r="Y25" s="67"/>
      <c r="Z25" s="35"/>
      <c r="AA25" s="68">
        <v>13</v>
      </c>
      <c r="AB25" s="310" t="s">
        <v>342</v>
      </c>
      <c r="AC25" s="243"/>
      <c r="AD25" s="103" t="s">
        <v>343</v>
      </c>
      <c r="AE25" s="104"/>
      <c r="AF25" s="104"/>
      <c r="AG25" s="104"/>
      <c r="AH25" s="104"/>
      <c r="AI25" s="104"/>
      <c r="AJ25" s="104"/>
      <c r="AK25" s="105"/>
      <c r="AL25" s="310"/>
      <c r="AM25" s="242"/>
      <c r="AN25" s="243"/>
      <c r="AO25" s="103"/>
      <c r="AP25" s="104"/>
      <c r="AQ25" s="104"/>
      <c r="AR25" s="104"/>
      <c r="AS25" s="104"/>
      <c r="AT25" s="104"/>
      <c r="AU25" s="104"/>
      <c r="AV25" s="104"/>
      <c r="AW25" s="104"/>
      <c r="AX25" s="106"/>
      <c r="AY25" s="35"/>
      <c r="AZ25" s="35"/>
      <c r="BA25" s="35"/>
      <c r="BB25" s="35"/>
    </row>
    <row r="26" spans="1:54" ht="15" customHeight="1" x14ac:dyDescent="0.25">
      <c r="A26" s="323"/>
      <c r="B26" s="54" t="s">
        <v>305</v>
      </c>
      <c r="C26" s="55">
        <v>4</v>
      </c>
      <c r="D26" s="280" t="s">
        <v>338</v>
      </c>
      <c r="E26" s="264"/>
      <c r="F26" s="56" t="s">
        <v>339</v>
      </c>
      <c r="G26" s="57" t="s">
        <v>301</v>
      </c>
      <c r="H26" s="72"/>
      <c r="I26" s="56"/>
      <c r="J26" s="73"/>
      <c r="K26" s="61" t="s">
        <v>338</v>
      </c>
      <c r="L26" s="335" t="s">
        <v>340</v>
      </c>
      <c r="M26" s="264"/>
      <c r="N26" s="62" t="s">
        <v>301</v>
      </c>
      <c r="O26" s="280"/>
      <c r="P26" s="264"/>
      <c r="Q26" s="56"/>
      <c r="R26" s="57"/>
      <c r="S26" s="63" t="s">
        <v>341</v>
      </c>
      <c r="T26" s="64" t="s">
        <v>319</v>
      </c>
      <c r="U26" s="77" t="s">
        <v>301</v>
      </c>
      <c r="V26" s="66"/>
      <c r="W26" s="263"/>
      <c r="X26" s="264"/>
      <c r="Y26" s="67"/>
      <c r="Z26" s="35"/>
      <c r="AA26" s="68">
        <v>14</v>
      </c>
      <c r="AB26" s="310" t="s">
        <v>344</v>
      </c>
      <c r="AC26" s="243"/>
      <c r="AD26" s="103" t="s">
        <v>345</v>
      </c>
      <c r="AE26" s="104"/>
      <c r="AF26" s="104"/>
      <c r="AG26" s="104"/>
      <c r="AH26" s="104"/>
      <c r="AI26" s="104"/>
      <c r="AJ26" s="104"/>
      <c r="AK26" s="105"/>
      <c r="AL26" s="310"/>
      <c r="AM26" s="242"/>
      <c r="AN26" s="243"/>
      <c r="AO26" s="103"/>
      <c r="AP26" s="104"/>
      <c r="AQ26" s="104"/>
      <c r="AR26" s="104"/>
      <c r="AS26" s="104"/>
      <c r="AT26" s="104"/>
      <c r="AU26" s="104"/>
      <c r="AV26" s="104"/>
      <c r="AW26" s="104"/>
      <c r="AX26" s="106"/>
      <c r="AY26" s="35"/>
      <c r="AZ26" s="35"/>
      <c r="BA26" s="35"/>
      <c r="BB26" s="35"/>
    </row>
    <row r="27" spans="1:54" ht="15" customHeight="1" x14ac:dyDescent="0.25">
      <c r="A27" s="323"/>
      <c r="B27" s="74" t="s">
        <v>308</v>
      </c>
      <c r="C27" s="75"/>
      <c r="D27" s="265"/>
      <c r="E27" s="266"/>
      <c r="F27" s="266"/>
      <c r="G27" s="283"/>
      <c r="H27" s="332" t="s">
        <v>309</v>
      </c>
      <c r="I27" s="266"/>
      <c r="J27" s="333"/>
      <c r="K27" s="339"/>
      <c r="L27" s="266"/>
      <c r="M27" s="266"/>
      <c r="N27" s="267"/>
      <c r="O27" s="265"/>
      <c r="P27" s="266"/>
      <c r="Q27" s="266"/>
      <c r="R27" s="283"/>
      <c r="S27" s="265" t="s">
        <v>309</v>
      </c>
      <c r="T27" s="266"/>
      <c r="U27" s="267"/>
      <c r="V27" s="268"/>
      <c r="W27" s="266"/>
      <c r="X27" s="266"/>
      <c r="Y27" s="267"/>
      <c r="Z27" s="35"/>
      <c r="AA27" s="68">
        <v>15</v>
      </c>
      <c r="AB27" s="310" t="s">
        <v>316</v>
      </c>
      <c r="AC27" s="243"/>
      <c r="AD27" s="103" t="s">
        <v>346</v>
      </c>
      <c r="AE27" s="104"/>
      <c r="AF27" s="104"/>
      <c r="AG27" s="104"/>
      <c r="AH27" s="104"/>
      <c r="AI27" s="104"/>
      <c r="AJ27" s="104"/>
      <c r="AK27" s="105"/>
      <c r="AL27" s="310"/>
      <c r="AM27" s="242"/>
      <c r="AN27" s="243"/>
      <c r="AO27" s="103" t="s">
        <v>347</v>
      </c>
      <c r="AP27" s="104"/>
      <c r="AQ27" s="104"/>
      <c r="AR27" s="104"/>
      <c r="AS27" s="104"/>
      <c r="AT27" s="104"/>
      <c r="AU27" s="104"/>
      <c r="AV27" s="104"/>
      <c r="AW27" s="104"/>
      <c r="AX27" s="106"/>
      <c r="AY27" s="35"/>
      <c r="AZ27" s="35"/>
      <c r="BA27" s="35"/>
      <c r="BB27" s="35"/>
    </row>
    <row r="28" spans="1:54" ht="15" customHeight="1" x14ac:dyDescent="0.25">
      <c r="A28" s="323"/>
      <c r="B28" s="76" t="s">
        <v>311</v>
      </c>
      <c r="C28" s="55">
        <v>5</v>
      </c>
      <c r="D28" s="280" t="s">
        <v>338</v>
      </c>
      <c r="E28" s="264"/>
      <c r="F28" s="56" t="s">
        <v>339</v>
      </c>
      <c r="G28" s="57" t="s">
        <v>301</v>
      </c>
      <c r="H28" s="72"/>
      <c r="I28" s="56"/>
      <c r="J28" s="73"/>
      <c r="K28" s="61" t="s">
        <v>338</v>
      </c>
      <c r="L28" s="335" t="s">
        <v>340</v>
      </c>
      <c r="M28" s="264"/>
      <c r="N28" s="62" t="s">
        <v>301</v>
      </c>
      <c r="O28" s="280"/>
      <c r="P28" s="264"/>
      <c r="Q28" s="56"/>
      <c r="R28" s="57"/>
      <c r="S28" s="63" t="s">
        <v>148</v>
      </c>
      <c r="T28" s="64" t="s">
        <v>312</v>
      </c>
      <c r="U28" s="65" t="s">
        <v>301</v>
      </c>
      <c r="V28" s="66"/>
      <c r="W28" s="263"/>
      <c r="X28" s="264"/>
      <c r="Y28" s="67"/>
      <c r="Z28" s="35"/>
      <c r="AA28" s="53">
        <v>16</v>
      </c>
      <c r="AB28" s="310" t="s">
        <v>340</v>
      </c>
      <c r="AC28" s="243"/>
      <c r="AD28" s="107" t="s">
        <v>348</v>
      </c>
      <c r="AE28" s="108"/>
      <c r="AF28" s="108"/>
      <c r="AG28" s="108"/>
      <c r="AH28" s="108"/>
      <c r="AI28" s="108"/>
      <c r="AJ28" s="108"/>
      <c r="AK28" s="109"/>
      <c r="AL28" s="310"/>
      <c r="AM28" s="242"/>
      <c r="AN28" s="243"/>
      <c r="AO28" s="107" t="s">
        <v>349</v>
      </c>
      <c r="AP28" s="108"/>
      <c r="AQ28" s="108"/>
      <c r="AR28" s="108"/>
      <c r="AS28" s="108"/>
      <c r="AT28" s="108"/>
      <c r="AU28" s="108"/>
      <c r="AV28" s="108"/>
      <c r="AW28" s="108"/>
      <c r="AX28" s="110"/>
      <c r="AY28" s="35"/>
      <c r="AZ28" s="35"/>
      <c r="BA28" s="35"/>
      <c r="BB28" s="35"/>
    </row>
    <row r="29" spans="1:54" ht="15" customHeight="1" x14ac:dyDescent="0.25">
      <c r="A29" s="323"/>
      <c r="B29" s="76" t="s">
        <v>314</v>
      </c>
      <c r="C29" s="55">
        <v>6</v>
      </c>
      <c r="D29" s="280" t="s">
        <v>338</v>
      </c>
      <c r="E29" s="264"/>
      <c r="F29" s="56" t="s">
        <v>339</v>
      </c>
      <c r="G29" s="57" t="s">
        <v>301</v>
      </c>
      <c r="H29" s="72"/>
      <c r="I29" s="56"/>
      <c r="J29" s="73"/>
      <c r="K29" s="61" t="s">
        <v>338</v>
      </c>
      <c r="L29" s="335" t="s">
        <v>340</v>
      </c>
      <c r="M29" s="264"/>
      <c r="N29" s="62" t="s">
        <v>301</v>
      </c>
      <c r="O29" s="280"/>
      <c r="P29" s="264"/>
      <c r="Q29" s="56"/>
      <c r="R29" s="57"/>
      <c r="S29" s="63" t="s">
        <v>148</v>
      </c>
      <c r="T29" s="64" t="s">
        <v>312</v>
      </c>
      <c r="U29" s="65" t="s">
        <v>301</v>
      </c>
      <c r="V29" s="66"/>
      <c r="W29" s="263"/>
      <c r="X29" s="264"/>
      <c r="Y29" s="67"/>
      <c r="Z29" s="35"/>
      <c r="AA29" s="68">
        <v>17</v>
      </c>
      <c r="AB29" s="310" t="s">
        <v>350</v>
      </c>
      <c r="AC29" s="243"/>
      <c r="AD29" s="103" t="s">
        <v>351</v>
      </c>
      <c r="AE29" s="104"/>
      <c r="AF29" s="104"/>
      <c r="AG29" s="104"/>
      <c r="AH29" s="104"/>
      <c r="AI29" s="104"/>
      <c r="AJ29" s="104"/>
      <c r="AK29" s="105"/>
      <c r="AL29" s="310"/>
      <c r="AM29" s="242"/>
      <c r="AN29" s="243"/>
      <c r="AO29" s="103" t="s">
        <v>352</v>
      </c>
      <c r="AP29" s="104"/>
      <c r="AQ29" s="104"/>
      <c r="AR29" s="104"/>
      <c r="AS29" s="104"/>
      <c r="AT29" s="104"/>
      <c r="AU29" s="104"/>
      <c r="AV29" s="104"/>
      <c r="AW29" s="104"/>
      <c r="AX29" s="106"/>
      <c r="AY29" s="35"/>
      <c r="AZ29" s="35"/>
      <c r="BA29" s="35"/>
      <c r="BB29" s="35"/>
    </row>
    <row r="30" spans="1:54" ht="15" customHeight="1" x14ac:dyDescent="0.25">
      <c r="A30" s="323"/>
      <c r="B30" s="76" t="s">
        <v>321</v>
      </c>
      <c r="C30" s="55">
        <v>7</v>
      </c>
      <c r="D30" s="280" t="s">
        <v>338</v>
      </c>
      <c r="E30" s="264"/>
      <c r="F30" s="56" t="s">
        <v>339</v>
      </c>
      <c r="G30" s="57" t="s">
        <v>301</v>
      </c>
      <c r="H30" s="72"/>
      <c r="I30" s="56"/>
      <c r="J30" s="73"/>
      <c r="K30" s="61" t="s">
        <v>338</v>
      </c>
      <c r="L30" s="335" t="s">
        <v>340</v>
      </c>
      <c r="M30" s="264"/>
      <c r="N30" s="62" t="s">
        <v>301</v>
      </c>
      <c r="O30" s="280"/>
      <c r="P30" s="264"/>
      <c r="Q30" s="56"/>
      <c r="R30" s="57"/>
      <c r="S30" s="63" t="s">
        <v>353</v>
      </c>
      <c r="T30" s="64" t="s">
        <v>326</v>
      </c>
      <c r="U30" s="65" t="s">
        <v>301</v>
      </c>
      <c r="V30" s="66"/>
      <c r="W30" s="263"/>
      <c r="X30" s="264"/>
      <c r="Y30" s="67"/>
      <c r="Z30" s="35"/>
      <c r="AA30" s="79">
        <v>18</v>
      </c>
      <c r="AB30" s="311" t="s">
        <v>339</v>
      </c>
      <c r="AC30" s="312"/>
      <c r="AD30" s="111" t="s">
        <v>354</v>
      </c>
      <c r="AE30" s="112"/>
      <c r="AF30" s="112"/>
      <c r="AG30" s="112"/>
      <c r="AH30" s="112"/>
      <c r="AI30" s="112"/>
      <c r="AJ30" s="112"/>
      <c r="AK30" s="113"/>
      <c r="AL30" s="350"/>
      <c r="AM30" s="351"/>
      <c r="AN30" s="352"/>
      <c r="AO30" s="114" t="s">
        <v>349</v>
      </c>
      <c r="AP30" s="115"/>
      <c r="AQ30" s="115"/>
      <c r="AR30" s="115"/>
      <c r="AS30" s="115"/>
      <c r="AT30" s="115"/>
      <c r="AU30" s="115"/>
      <c r="AV30" s="115"/>
      <c r="AW30" s="115"/>
      <c r="AX30" s="116"/>
      <c r="AY30" s="35"/>
      <c r="AZ30" s="35"/>
      <c r="BA30" s="35"/>
      <c r="BB30" s="35"/>
    </row>
    <row r="31" spans="1:54" ht="15" customHeight="1" x14ac:dyDescent="0.25">
      <c r="A31" s="323"/>
      <c r="B31" s="78" t="s">
        <v>324</v>
      </c>
      <c r="C31" s="75"/>
      <c r="D31" s="265"/>
      <c r="E31" s="266"/>
      <c r="F31" s="266"/>
      <c r="G31" s="283"/>
      <c r="H31" s="332" t="s">
        <v>325</v>
      </c>
      <c r="I31" s="266"/>
      <c r="J31" s="333"/>
      <c r="K31" s="339"/>
      <c r="L31" s="266"/>
      <c r="M31" s="266"/>
      <c r="N31" s="267"/>
      <c r="O31" s="265"/>
      <c r="P31" s="266"/>
      <c r="Q31" s="266"/>
      <c r="R31" s="283"/>
      <c r="S31" s="265" t="s">
        <v>325</v>
      </c>
      <c r="T31" s="266"/>
      <c r="U31" s="267"/>
      <c r="V31" s="268"/>
      <c r="W31" s="266"/>
      <c r="X31" s="266"/>
      <c r="Y31" s="267"/>
      <c r="Z31" s="35"/>
      <c r="AA31" s="117"/>
      <c r="AB31" s="118"/>
      <c r="AC31" s="119"/>
      <c r="AD31" s="120"/>
      <c r="AE31" s="121"/>
      <c r="AF31" s="121"/>
      <c r="AG31" s="121"/>
      <c r="AH31" s="121"/>
      <c r="AI31" s="121"/>
      <c r="AJ31" s="121"/>
      <c r="AK31" s="122"/>
      <c r="AL31" s="381"/>
      <c r="AM31" s="382"/>
      <c r="AN31" s="383"/>
      <c r="AO31" s="123" t="s">
        <v>352</v>
      </c>
      <c r="AP31" s="124"/>
      <c r="AQ31" s="124"/>
      <c r="AR31" s="124"/>
      <c r="AS31" s="124"/>
      <c r="AT31" s="124"/>
      <c r="AU31" s="124"/>
      <c r="AV31" s="124"/>
      <c r="AW31" s="124"/>
      <c r="AX31" s="125"/>
      <c r="AY31" s="35"/>
      <c r="AZ31" s="35"/>
      <c r="BA31" s="35"/>
      <c r="BB31" s="35"/>
    </row>
    <row r="32" spans="1:54" ht="15" customHeight="1" x14ac:dyDescent="0.25">
      <c r="A32" s="323"/>
      <c r="B32" s="76" t="s">
        <v>328</v>
      </c>
      <c r="C32" s="55">
        <v>8</v>
      </c>
      <c r="D32" s="280" t="s">
        <v>338</v>
      </c>
      <c r="E32" s="264"/>
      <c r="F32" s="56" t="s">
        <v>339</v>
      </c>
      <c r="G32" s="57" t="s">
        <v>301</v>
      </c>
      <c r="H32" s="72"/>
      <c r="I32" s="56"/>
      <c r="J32" s="73"/>
      <c r="K32" s="61" t="s">
        <v>338</v>
      </c>
      <c r="L32" s="335" t="s">
        <v>340</v>
      </c>
      <c r="M32" s="264"/>
      <c r="N32" s="62" t="s">
        <v>301</v>
      </c>
      <c r="O32" s="280"/>
      <c r="P32" s="264"/>
      <c r="Q32" s="56"/>
      <c r="R32" s="57"/>
      <c r="S32" s="63" t="s">
        <v>299</v>
      </c>
      <c r="T32" s="64" t="s">
        <v>300</v>
      </c>
      <c r="U32" s="62" t="s">
        <v>301</v>
      </c>
      <c r="V32" s="66"/>
      <c r="W32" s="263"/>
      <c r="X32" s="264"/>
      <c r="Y32" s="67"/>
      <c r="Z32" s="35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35"/>
      <c r="AZ32" s="35"/>
      <c r="BA32" s="35"/>
      <c r="BB32" s="35"/>
    </row>
    <row r="33" spans="1:54" ht="15" customHeight="1" x14ac:dyDescent="0.25">
      <c r="A33" s="324"/>
      <c r="B33" s="76" t="s">
        <v>331</v>
      </c>
      <c r="C33" s="55">
        <v>9</v>
      </c>
      <c r="D33" s="287" t="s">
        <v>338</v>
      </c>
      <c r="E33" s="260"/>
      <c r="F33" s="80" t="s">
        <v>339</v>
      </c>
      <c r="G33" s="81" t="s">
        <v>301</v>
      </c>
      <c r="H33" s="82"/>
      <c r="I33" s="80"/>
      <c r="J33" s="127"/>
      <c r="K33" s="84" t="s">
        <v>338</v>
      </c>
      <c r="L33" s="337" t="s">
        <v>340</v>
      </c>
      <c r="M33" s="260"/>
      <c r="N33" s="85" t="s">
        <v>301</v>
      </c>
      <c r="O33" s="287"/>
      <c r="P33" s="260"/>
      <c r="Q33" s="80"/>
      <c r="R33" s="81"/>
      <c r="S33" s="128" t="s">
        <v>299</v>
      </c>
      <c r="T33" s="129" t="s">
        <v>300</v>
      </c>
      <c r="U33" s="85" t="s">
        <v>301</v>
      </c>
      <c r="V33" s="89"/>
      <c r="W33" s="259"/>
      <c r="X33" s="260"/>
      <c r="Y33" s="90"/>
      <c r="Z33" s="35"/>
      <c r="AA33" s="38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35"/>
      <c r="AZ33" s="35"/>
      <c r="BA33" s="35"/>
      <c r="BB33" s="35"/>
    </row>
    <row r="34" spans="1:54" ht="15" customHeight="1" x14ac:dyDescent="0.25">
      <c r="A34" s="322" t="s">
        <v>355</v>
      </c>
      <c r="B34" s="91" t="s">
        <v>291</v>
      </c>
      <c r="C34" s="92">
        <v>1</v>
      </c>
      <c r="D34" s="289" t="s">
        <v>356</v>
      </c>
      <c r="E34" s="262"/>
      <c r="F34" s="93" t="s">
        <v>339</v>
      </c>
      <c r="G34" s="94" t="s">
        <v>301</v>
      </c>
      <c r="H34" s="58"/>
      <c r="I34" s="59"/>
      <c r="J34" s="60"/>
      <c r="K34" s="96" t="s">
        <v>338</v>
      </c>
      <c r="L34" s="384" t="s">
        <v>340</v>
      </c>
      <c r="M34" s="262"/>
      <c r="N34" s="97" t="s">
        <v>301</v>
      </c>
      <c r="O34" s="289"/>
      <c r="P34" s="262"/>
      <c r="Q34" s="93"/>
      <c r="R34" s="94"/>
      <c r="S34" s="98" t="s">
        <v>357</v>
      </c>
      <c r="T34" s="130" t="s">
        <v>358</v>
      </c>
      <c r="U34" s="100" t="s">
        <v>301</v>
      </c>
      <c r="V34" s="131"/>
      <c r="W34" s="261"/>
      <c r="X34" s="262"/>
      <c r="Y34" s="102"/>
      <c r="Z34" s="35"/>
      <c r="AA34" s="39" t="s">
        <v>359</v>
      </c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</row>
    <row r="35" spans="1:54" ht="15" customHeight="1" x14ac:dyDescent="0.25">
      <c r="A35" s="323"/>
      <c r="B35" s="54" t="s">
        <v>295</v>
      </c>
      <c r="C35" s="55">
        <v>2</v>
      </c>
      <c r="D35" s="280" t="s">
        <v>356</v>
      </c>
      <c r="E35" s="264"/>
      <c r="F35" s="56" t="s">
        <v>339</v>
      </c>
      <c r="G35" s="57" t="s">
        <v>301</v>
      </c>
      <c r="H35" s="58"/>
      <c r="I35" s="59"/>
      <c r="J35" s="60"/>
      <c r="K35" s="61" t="s">
        <v>338</v>
      </c>
      <c r="L35" s="335" t="s">
        <v>340</v>
      </c>
      <c r="M35" s="264"/>
      <c r="N35" s="62" t="s">
        <v>301</v>
      </c>
      <c r="O35" s="280"/>
      <c r="P35" s="264"/>
      <c r="Q35" s="56"/>
      <c r="R35" s="57"/>
      <c r="S35" s="63" t="s">
        <v>357</v>
      </c>
      <c r="T35" s="64" t="s">
        <v>358</v>
      </c>
      <c r="U35" s="77" t="s">
        <v>301</v>
      </c>
      <c r="V35" s="132"/>
      <c r="W35" s="263"/>
      <c r="X35" s="264"/>
      <c r="Y35" s="67"/>
      <c r="Z35" s="35"/>
      <c r="AA35" s="133" t="s">
        <v>360</v>
      </c>
      <c r="AB35" s="134"/>
      <c r="AC35" s="134"/>
      <c r="AD35" s="135">
        <v>1</v>
      </c>
      <c r="AE35" s="135">
        <v>2</v>
      </c>
      <c r="AF35" s="135">
        <v>3</v>
      </c>
      <c r="AG35" s="135">
        <v>4</v>
      </c>
      <c r="AH35" s="135">
        <v>5</v>
      </c>
      <c r="AI35" s="135">
        <v>6</v>
      </c>
      <c r="AJ35" s="135">
        <v>7</v>
      </c>
      <c r="AK35" s="135">
        <v>8</v>
      </c>
      <c r="AL35" s="135">
        <v>9</v>
      </c>
      <c r="AM35" s="135">
        <v>10</v>
      </c>
      <c r="AN35" s="135">
        <v>11</v>
      </c>
      <c r="AO35" s="135">
        <v>12</v>
      </c>
      <c r="AP35" s="135">
        <v>13</v>
      </c>
      <c r="AQ35" s="135">
        <v>14</v>
      </c>
      <c r="AR35" s="135">
        <v>15</v>
      </c>
      <c r="AS35" s="135">
        <v>16</v>
      </c>
      <c r="AT35" s="135">
        <v>17</v>
      </c>
      <c r="AU35" s="135">
        <v>18</v>
      </c>
      <c r="AV35" s="135">
        <v>19</v>
      </c>
      <c r="AW35" s="135">
        <v>20</v>
      </c>
      <c r="AX35" s="136">
        <v>21</v>
      </c>
      <c r="AY35" s="35"/>
      <c r="AZ35" s="35"/>
      <c r="BA35" s="35"/>
      <c r="BB35" s="35"/>
    </row>
    <row r="36" spans="1:54" ht="15" customHeight="1" x14ac:dyDescent="0.25">
      <c r="A36" s="323"/>
      <c r="B36" s="54" t="s">
        <v>302</v>
      </c>
      <c r="C36" s="55">
        <v>3</v>
      </c>
      <c r="D36" s="280" t="s">
        <v>356</v>
      </c>
      <c r="E36" s="264"/>
      <c r="F36" s="56" t="s">
        <v>339</v>
      </c>
      <c r="G36" s="57" t="s">
        <v>301</v>
      </c>
      <c r="H36" s="58"/>
      <c r="I36" s="59"/>
      <c r="J36" s="60"/>
      <c r="K36" s="61" t="s">
        <v>338</v>
      </c>
      <c r="L36" s="335" t="s">
        <v>340</v>
      </c>
      <c r="M36" s="264"/>
      <c r="N36" s="62" t="s">
        <v>301</v>
      </c>
      <c r="O36" s="280"/>
      <c r="P36" s="264"/>
      <c r="Q36" s="56"/>
      <c r="R36" s="57"/>
      <c r="S36" s="63" t="s">
        <v>357</v>
      </c>
      <c r="T36" s="64" t="s">
        <v>358</v>
      </c>
      <c r="U36" s="62" t="s">
        <v>301</v>
      </c>
      <c r="V36" s="132"/>
      <c r="W36" s="263"/>
      <c r="X36" s="264"/>
      <c r="Y36" s="67"/>
      <c r="Z36" s="35"/>
      <c r="AA36" s="271" t="s">
        <v>361</v>
      </c>
      <c r="AB36" s="272"/>
      <c r="AC36" s="273"/>
      <c r="AD36" s="252" t="s">
        <v>362</v>
      </c>
      <c r="AE36" s="252" t="s">
        <v>363</v>
      </c>
      <c r="AF36" s="252" t="s">
        <v>364</v>
      </c>
      <c r="AG36" s="252" t="s">
        <v>365</v>
      </c>
      <c r="AH36" s="252" t="s">
        <v>366</v>
      </c>
      <c r="AI36" s="252" t="s">
        <v>367</v>
      </c>
      <c r="AJ36" s="255" t="s">
        <v>368</v>
      </c>
      <c r="AK36" s="252" t="s">
        <v>369</v>
      </c>
      <c r="AL36" s="252" t="s">
        <v>370</v>
      </c>
      <c r="AM36" s="252" t="s">
        <v>371</v>
      </c>
      <c r="AN36" s="252" t="s">
        <v>372</v>
      </c>
      <c r="AO36" s="252" t="s">
        <v>373</v>
      </c>
      <c r="AP36" s="252" t="s">
        <v>374</v>
      </c>
      <c r="AQ36" s="252" t="s">
        <v>375</v>
      </c>
      <c r="AR36" s="252" t="s">
        <v>376</v>
      </c>
      <c r="AS36" s="252" t="s">
        <v>377</v>
      </c>
      <c r="AT36" s="252" t="s">
        <v>378</v>
      </c>
      <c r="AU36" s="252" t="s">
        <v>379</v>
      </c>
      <c r="AV36" s="252" t="s">
        <v>380</v>
      </c>
      <c r="AW36" s="252" t="s">
        <v>381</v>
      </c>
      <c r="AX36" s="256" t="s">
        <v>382</v>
      </c>
      <c r="AY36" s="35"/>
      <c r="AZ36" s="35"/>
      <c r="BA36" s="35"/>
      <c r="BB36" s="35"/>
    </row>
    <row r="37" spans="1:54" ht="15" customHeight="1" x14ac:dyDescent="0.25">
      <c r="A37" s="323"/>
      <c r="B37" s="54" t="s">
        <v>305</v>
      </c>
      <c r="C37" s="55">
        <v>4</v>
      </c>
      <c r="D37" s="280" t="s">
        <v>356</v>
      </c>
      <c r="E37" s="264"/>
      <c r="F37" s="56" t="s">
        <v>339</v>
      </c>
      <c r="G37" s="57" t="s">
        <v>301</v>
      </c>
      <c r="H37" s="58"/>
      <c r="I37" s="59"/>
      <c r="J37" s="60"/>
      <c r="K37" s="61" t="s">
        <v>338</v>
      </c>
      <c r="L37" s="335" t="s">
        <v>340</v>
      </c>
      <c r="M37" s="264"/>
      <c r="N37" s="62" t="s">
        <v>301</v>
      </c>
      <c r="O37" s="280"/>
      <c r="P37" s="264"/>
      <c r="Q37" s="56"/>
      <c r="R37" s="57"/>
      <c r="S37" s="63" t="s">
        <v>383</v>
      </c>
      <c r="T37" s="64" t="s">
        <v>322</v>
      </c>
      <c r="U37" s="62" t="s">
        <v>301</v>
      </c>
      <c r="V37" s="66"/>
      <c r="W37" s="263"/>
      <c r="X37" s="264"/>
      <c r="Y37" s="67"/>
      <c r="Z37" s="35"/>
      <c r="AA37" s="274"/>
      <c r="AB37" s="275"/>
      <c r="AC37" s="276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7"/>
      <c r="AY37" s="35"/>
      <c r="AZ37" s="35"/>
      <c r="BA37" s="35"/>
      <c r="BB37" s="35"/>
    </row>
    <row r="38" spans="1:54" ht="15" customHeight="1" x14ac:dyDescent="0.25">
      <c r="A38" s="323"/>
      <c r="B38" s="74" t="s">
        <v>308</v>
      </c>
      <c r="C38" s="75"/>
      <c r="D38" s="265"/>
      <c r="E38" s="266"/>
      <c r="F38" s="266"/>
      <c r="G38" s="283"/>
      <c r="H38" s="332" t="s">
        <v>309</v>
      </c>
      <c r="I38" s="266"/>
      <c r="J38" s="333"/>
      <c r="K38" s="339"/>
      <c r="L38" s="266"/>
      <c r="M38" s="266"/>
      <c r="N38" s="267"/>
      <c r="O38" s="265"/>
      <c r="P38" s="266"/>
      <c r="Q38" s="266"/>
      <c r="R38" s="283"/>
      <c r="S38" s="265" t="s">
        <v>309</v>
      </c>
      <c r="T38" s="266"/>
      <c r="U38" s="267"/>
      <c r="V38" s="268"/>
      <c r="W38" s="266"/>
      <c r="X38" s="266"/>
      <c r="Y38" s="267"/>
      <c r="Z38" s="35"/>
      <c r="AA38" s="274"/>
      <c r="AB38" s="275"/>
      <c r="AC38" s="276"/>
      <c r="AD38" s="253"/>
      <c r="AE38" s="253"/>
      <c r="AF38" s="253"/>
      <c r="AG38" s="253"/>
      <c r="AH38" s="253"/>
      <c r="AI38" s="253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53"/>
      <c r="AU38" s="253"/>
      <c r="AV38" s="253"/>
      <c r="AW38" s="253"/>
      <c r="AX38" s="257"/>
      <c r="AY38" s="35"/>
      <c r="AZ38" s="35"/>
      <c r="BA38" s="35"/>
      <c r="BB38" s="35"/>
    </row>
    <row r="39" spans="1:54" ht="15" customHeight="1" x14ac:dyDescent="0.25">
      <c r="A39" s="323"/>
      <c r="B39" s="76" t="s">
        <v>311</v>
      </c>
      <c r="C39" s="55">
        <v>5</v>
      </c>
      <c r="D39" s="280" t="s">
        <v>356</v>
      </c>
      <c r="E39" s="264"/>
      <c r="F39" s="56" t="s">
        <v>339</v>
      </c>
      <c r="G39" s="57" t="s">
        <v>301</v>
      </c>
      <c r="H39" s="58"/>
      <c r="I39" s="59"/>
      <c r="J39" s="60"/>
      <c r="K39" s="61" t="s">
        <v>356</v>
      </c>
      <c r="L39" s="335" t="s">
        <v>350</v>
      </c>
      <c r="M39" s="264"/>
      <c r="N39" s="62" t="s">
        <v>301</v>
      </c>
      <c r="O39" s="280"/>
      <c r="P39" s="264"/>
      <c r="Q39" s="56"/>
      <c r="R39" s="57"/>
      <c r="S39" s="63" t="s">
        <v>383</v>
      </c>
      <c r="T39" s="64" t="s">
        <v>322</v>
      </c>
      <c r="U39" s="65" t="s">
        <v>301</v>
      </c>
      <c r="V39" s="66"/>
      <c r="W39" s="263"/>
      <c r="X39" s="264"/>
      <c r="Y39" s="67"/>
      <c r="Z39" s="35"/>
      <c r="AA39" s="274"/>
      <c r="AB39" s="275"/>
      <c r="AC39" s="276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7"/>
      <c r="AY39" s="35"/>
      <c r="AZ39" s="35"/>
      <c r="BA39" s="35"/>
      <c r="BB39" s="35"/>
    </row>
    <row r="40" spans="1:54" ht="15" customHeight="1" x14ac:dyDescent="0.25">
      <c r="A40" s="323"/>
      <c r="B40" s="76" t="s">
        <v>314</v>
      </c>
      <c r="C40" s="55">
        <v>6</v>
      </c>
      <c r="D40" s="280" t="s">
        <v>338</v>
      </c>
      <c r="E40" s="264"/>
      <c r="F40" s="56" t="s">
        <v>339</v>
      </c>
      <c r="G40" s="57" t="s">
        <v>301</v>
      </c>
      <c r="H40" s="72"/>
      <c r="I40" s="56"/>
      <c r="J40" s="73"/>
      <c r="K40" s="61" t="s">
        <v>356</v>
      </c>
      <c r="L40" s="335" t="s">
        <v>350</v>
      </c>
      <c r="M40" s="264"/>
      <c r="N40" s="62" t="s">
        <v>301</v>
      </c>
      <c r="O40" s="280"/>
      <c r="P40" s="264"/>
      <c r="Q40" s="56"/>
      <c r="R40" s="57"/>
      <c r="S40" s="63" t="s">
        <v>148</v>
      </c>
      <c r="T40" s="137" t="s">
        <v>312</v>
      </c>
      <c r="U40" s="65" t="s">
        <v>301</v>
      </c>
      <c r="V40" s="66"/>
      <c r="W40" s="263"/>
      <c r="X40" s="264"/>
      <c r="Y40" s="67"/>
      <c r="Z40" s="35"/>
      <c r="AA40" s="274"/>
      <c r="AB40" s="275"/>
      <c r="AC40" s="276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3"/>
      <c r="AU40" s="253"/>
      <c r="AV40" s="253"/>
      <c r="AW40" s="253"/>
      <c r="AX40" s="257"/>
      <c r="AY40" s="35"/>
      <c r="AZ40" s="35"/>
      <c r="BA40" s="35"/>
      <c r="BB40" s="35"/>
    </row>
    <row r="41" spans="1:54" ht="15" customHeight="1" x14ac:dyDescent="0.25">
      <c r="A41" s="323"/>
      <c r="B41" s="76" t="s">
        <v>321</v>
      </c>
      <c r="C41" s="55">
        <v>7</v>
      </c>
      <c r="D41" s="280" t="s">
        <v>338</v>
      </c>
      <c r="E41" s="264"/>
      <c r="F41" s="56" t="s">
        <v>339</v>
      </c>
      <c r="G41" s="57" t="s">
        <v>301</v>
      </c>
      <c r="H41" s="72"/>
      <c r="I41" s="56"/>
      <c r="J41" s="73"/>
      <c r="K41" s="61" t="s">
        <v>356</v>
      </c>
      <c r="L41" s="335" t="s">
        <v>350</v>
      </c>
      <c r="M41" s="264"/>
      <c r="N41" s="62" t="s">
        <v>301</v>
      </c>
      <c r="O41" s="280"/>
      <c r="P41" s="264"/>
      <c r="Q41" s="56"/>
      <c r="R41" s="57"/>
      <c r="S41" s="63" t="s">
        <v>148</v>
      </c>
      <c r="T41" s="137" t="s">
        <v>312</v>
      </c>
      <c r="U41" s="65" t="s">
        <v>301</v>
      </c>
      <c r="V41" s="66"/>
      <c r="W41" s="263"/>
      <c r="X41" s="264"/>
      <c r="Y41" s="67"/>
      <c r="Z41" s="35"/>
      <c r="AA41" s="274"/>
      <c r="AB41" s="275"/>
      <c r="AC41" s="276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/>
      <c r="AP41" s="253"/>
      <c r="AQ41" s="253"/>
      <c r="AR41" s="253"/>
      <c r="AS41" s="253"/>
      <c r="AT41" s="253"/>
      <c r="AU41" s="253"/>
      <c r="AV41" s="253"/>
      <c r="AW41" s="253"/>
      <c r="AX41" s="257"/>
      <c r="AY41" s="35"/>
      <c r="AZ41" s="35"/>
      <c r="BA41" s="35"/>
      <c r="BB41" s="35"/>
    </row>
    <row r="42" spans="1:54" ht="15" customHeight="1" x14ac:dyDescent="0.25">
      <c r="A42" s="323"/>
      <c r="B42" s="78" t="s">
        <v>324</v>
      </c>
      <c r="C42" s="75"/>
      <c r="D42" s="265"/>
      <c r="E42" s="266"/>
      <c r="F42" s="266"/>
      <c r="G42" s="283"/>
      <c r="H42" s="332" t="s">
        <v>325</v>
      </c>
      <c r="I42" s="266"/>
      <c r="J42" s="333"/>
      <c r="K42" s="339"/>
      <c r="L42" s="266"/>
      <c r="M42" s="266"/>
      <c r="N42" s="267"/>
      <c r="O42" s="265"/>
      <c r="P42" s="266"/>
      <c r="Q42" s="266"/>
      <c r="R42" s="283"/>
      <c r="S42" s="265" t="s">
        <v>325</v>
      </c>
      <c r="T42" s="266"/>
      <c r="U42" s="267"/>
      <c r="V42" s="268"/>
      <c r="W42" s="266"/>
      <c r="X42" s="266"/>
      <c r="Y42" s="267"/>
      <c r="Z42" s="35"/>
      <c r="AA42" s="277"/>
      <c r="AB42" s="278"/>
      <c r="AC42" s="279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253"/>
      <c r="AT42" s="253"/>
      <c r="AU42" s="253"/>
      <c r="AV42" s="253"/>
      <c r="AW42" s="253"/>
      <c r="AX42" s="257"/>
      <c r="AY42" s="35"/>
      <c r="AZ42" s="35"/>
      <c r="BA42" s="35"/>
      <c r="BB42" s="35"/>
    </row>
    <row r="43" spans="1:54" ht="15" customHeight="1" x14ac:dyDescent="0.25">
      <c r="A43" s="323"/>
      <c r="B43" s="76" t="s">
        <v>328</v>
      </c>
      <c r="C43" s="55">
        <v>8</v>
      </c>
      <c r="D43" s="280" t="s">
        <v>338</v>
      </c>
      <c r="E43" s="264"/>
      <c r="F43" s="56" t="s">
        <v>339</v>
      </c>
      <c r="G43" s="57" t="s">
        <v>301</v>
      </c>
      <c r="H43" s="72"/>
      <c r="I43" s="56"/>
      <c r="J43" s="73"/>
      <c r="K43" s="61" t="s">
        <v>356</v>
      </c>
      <c r="L43" s="335" t="s">
        <v>350</v>
      </c>
      <c r="M43" s="264"/>
      <c r="N43" s="62" t="s">
        <v>301</v>
      </c>
      <c r="O43" s="280"/>
      <c r="P43" s="264"/>
      <c r="Q43" s="56"/>
      <c r="R43" s="57"/>
      <c r="S43" s="63" t="s">
        <v>335</v>
      </c>
      <c r="T43" s="64" t="s">
        <v>306</v>
      </c>
      <c r="U43" s="62" t="s">
        <v>301</v>
      </c>
      <c r="V43" s="66"/>
      <c r="W43" s="263"/>
      <c r="X43" s="264"/>
      <c r="Y43" s="67"/>
      <c r="Z43" s="35"/>
      <c r="AA43" s="316" t="s">
        <v>384</v>
      </c>
      <c r="AB43" s="317"/>
      <c r="AC43" s="318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8"/>
      <c r="AY43" s="35"/>
      <c r="AZ43" s="35"/>
      <c r="BA43" s="35"/>
      <c r="BB43" s="35"/>
    </row>
    <row r="44" spans="1:54" ht="15" customHeight="1" x14ac:dyDescent="0.25">
      <c r="A44" s="324"/>
      <c r="B44" s="138" t="s">
        <v>331</v>
      </c>
      <c r="C44" s="55">
        <v>9</v>
      </c>
      <c r="D44" s="287" t="s">
        <v>338</v>
      </c>
      <c r="E44" s="260"/>
      <c r="F44" s="80" t="s">
        <v>339</v>
      </c>
      <c r="G44" s="127" t="s">
        <v>301</v>
      </c>
      <c r="H44" s="82"/>
      <c r="I44" s="80"/>
      <c r="J44" s="127"/>
      <c r="K44" s="82" t="s">
        <v>356</v>
      </c>
      <c r="L44" s="337" t="s">
        <v>350</v>
      </c>
      <c r="M44" s="260"/>
      <c r="N44" s="85" t="s">
        <v>301</v>
      </c>
      <c r="O44" s="287"/>
      <c r="P44" s="260"/>
      <c r="Q44" s="80"/>
      <c r="R44" s="81"/>
      <c r="S44" s="128" t="s">
        <v>335</v>
      </c>
      <c r="T44" s="129" t="s">
        <v>306</v>
      </c>
      <c r="U44" s="85" t="s">
        <v>301</v>
      </c>
      <c r="V44" s="89"/>
      <c r="W44" s="259"/>
      <c r="X44" s="260"/>
      <c r="Y44" s="90"/>
      <c r="Z44" s="35"/>
      <c r="AA44" s="319" t="s">
        <v>385</v>
      </c>
      <c r="AB44" s="320"/>
      <c r="AC44" s="321"/>
      <c r="AD44" s="286" t="s">
        <v>386</v>
      </c>
      <c r="AE44" s="285" t="s">
        <v>387</v>
      </c>
      <c r="AF44" s="286" t="s">
        <v>386</v>
      </c>
      <c r="AG44" s="285" t="s">
        <v>387</v>
      </c>
      <c r="AH44" s="286" t="s">
        <v>386</v>
      </c>
      <c r="AI44" s="285" t="s">
        <v>387</v>
      </c>
      <c r="AJ44" s="286" t="s">
        <v>386</v>
      </c>
      <c r="AK44" s="285" t="s">
        <v>387</v>
      </c>
      <c r="AL44" s="286" t="s">
        <v>386</v>
      </c>
      <c r="AM44" s="296" t="s">
        <v>388</v>
      </c>
      <c r="AN44" s="285" t="s">
        <v>387</v>
      </c>
      <c r="AO44" s="286" t="s">
        <v>386</v>
      </c>
      <c r="AP44" s="285" t="s">
        <v>387</v>
      </c>
      <c r="AQ44" s="286" t="s">
        <v>386</v>
      </c>
      <c r="AR44" s="285" t="s">
        <v>387</v>
      </c>
      <c r="AS44" s="286" t="s">
        <v>386</v>
      </c>
      <c r="AT44" s="285" t="s">
        <v>387</v>
      </c>
      <c r="AU44" s="286" t="s">
        <v>386</v>
      </c>
      <c r="AV44" s="285" t="s">
        <v>387</v>
      </c>
      <c r="AW44" s="286" t="s">
        <v>386</v>
      </c>
      <c r="AX44" s="297" t="s">
        <v>389</v>
      </c>
      <c r="AY44" s="35"/>
      <c r="AZ44" s="35"/>
      <c r="BA44" s="35"/>
      <c r="BB44" s="35"/>
    </row>
    <row r="45" spans="1:54" ht="15" customHeight="1" x14ac:dyDescent="0.25">
      <c r="A45" s="322" t="s">
        <v>390</v>
      </c>
      <c r="B45" s="91" t="s">
        <v>291</v>
      </c>
      <c r="C45" s="92">
        <v>1</v>
      </c>
      <c r="D45" s="289"/>
      <c r="E45" s="262"/>
      <c r="F45" s="93"/>
      <c r="G45" s="57"/>
      <c r="H45" s="58" t="s">
        <v>391</v>
      </c>
      <c r="I45" s="70" t="s">
        <v>344</v>
      </c>
      <c r="J45" s="73" t="s">
        <v>301</v>
      </c>
      <c r="K45" s="96"/>
      <c r="L45" s="384"/>
      <c r="M45" s="262"/>
      <c r="N45" s="97"/>
      <c r="O45" s="289"/>
      <c r="P45" s="262"/>
      <c r="Q45" s="93"/>
      <c r="R45" s="94"/>
      <c r="S45" s="63" t="s">
        <v>383</v>
      </c>
      <c r="T45" s="64" t="s">
        <v>322</v>
      </c>
      <c r="U45" s="77" t="s">
        <v>301</v>
      </c>
      <c r="V45" s="131"/>
      <c r="W45" s="261"/>
      <c r="X45" s="262"/>
      <c r="Y45" s="102"/>
      <c r="Z45" s="35"/>
      <c r="AA45" s="300"/>
      <c r="AB45" s="301"/>
      <c r="AC45" s="302"/>
      <c r="AD45" s="250"/>
      <c r="AE45" s="250"/>
      <c r="AF45" s="250"/>
      <c r="AG45" s="250"/>
      <c r="AH45" s="250"/>
      <c r="AI45" s="250"/>
      <c r="AJ45" s="250"/>
      <c r="AK45" s="250"/>
      <c r="AL45" s="250"/>
      <c r="AM45" s="253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7"/>
      <c r="AY45" s="35"/>
      <c r="AZ45" s="35"/>
      <c r="BA45" s="35"/>
      <c r="BB45" s="35"/>
    </row>
    <row r="46" spans="1:54" ht="15" customHeight="1" x14ac:dyDescent="0.25">
      <c r="A46" s="323"/>
      <c r="B46" s="54" t="s">
        <v>295</v>
      </c>
      <c r="C46" s="55">
        <v>2</v>
      </c>
      <c r="D46" s="280"/>
      <c r="E46" s="264"/>
      <c r="F46" s="56"/>
      <c r="G46" s="57"/>
      <c r="H46" s="58" t="s">
        <v>391</v>
      </c>
      <c r="I46" s="70" t="s">
        <v>344</v>
      </c>
      <c r="J46" s="73" t="s">
        <v>301</v>
      </c>
      <c r="K46" s="61"/>
      <c r="L46" s="335"/>
      <c r="M46" s="264"/>
      <c r="N46" s="62"/>
      <c r="O46" s="280"/>
      <c r="P46" s="264"/>
      <c r="Q46" s="56"/>
      <c r="R46" s="57"/>
      <c r="S46" s="63" t="s">
        <v>383</v>
      </c>
      <c r="T46" s="64" t="s">
        <v>322</v>
      </c>
      <c r="U46" s="77" t="s">
        <v>301</v>
      </c>
      <c r="V46" s="132"/>
      <c r="W46" s="263"/>
      <c r="X46" s="264"/>
      <c r="Y46" s="67"/>
      <c r="Z46" s="35"/>
      <c r="AA46" s="299" t="s">
        <v>392</v>
      </c>
      <c r="AB46" s="272"/>
      <c r="AC46" s="273"/>
      <c r="AD46" s="249" t="s">
        <v>387</v>
      </c>
      <c r="AE46" s="251" t="s">
        <v>386</v>
      </c>
      <c r="AF46" s="249" t="s">
        <v>387</v>
      </c>
      <c r="AG46" s="251" t="s">
        <v>386</v>
      </c>
      <c r="AH46" s="249" t="s">
        <v>387</v>
      </c>
      <c r="AI46" s="251" t="s">
        <v>386</v>
      </c>
      <c r="AJ46" s="249" t="s">
        <v>387</v>
      </c>
      <c r="AK46" s="251" t="s">
        <v>386</v>
      </c>
      <c r="AL46" s="249" t="s">
        <v>387</v>
      </c>
      <c r="AM46" s="253"/>
      <c r="AN46" s="251" t="s">
        <v>386</v>
      </c>
      <c r="AO46" s="249" t="s">
        <v>387</v>
      </c>
      <c r="AP46" s="251" t="s">
        <v>386</v>
      </c>
      <c r="AQ46" s="249" t="s">
        <v>387</v>
      </c>
      <c r="AR46" s="251" t="s">
        <v>386</v>
      </c>
      <c r="AS46" s="249" t="s">
        <v>387</v>
      </c>
      <c r="AT46" s="251" t="s">
        <v>386</v>
      </c>
      <c r="AU46" s="249" t="s">
        <v>387</v>
      </c>
      <c r="AV46" s="251" t="s">
        <v>386</v>
      </c>
      <c r="AW46" s="249" t="s">
        <v>387</v>
      </c>
      <c r="AX46" s="257"/>
      <c r="AY46" s="35"/>
      <c r="AZ46" s="35"/>
      <c r="BA46" s="35"/>
      <c r="BB46" s="35"/>
    </row>
    <row r="47" spans="1:54" ht="15" customHeight="1" x14ac:dyDescent="0.25">
      <c r="A47" s="323"/>
      <c r="B47" s="54" t="s">
        <v>302</v>
      </c>
      <c r="C47" s="55">
        <v>3</v>
      </c>
      <c r="D47" s="280"/>
      <c r="E47" s="264"/>
      <c r="F47" s="56"/>
      <c r="G47" s="57"/>
      <c r="H47" s="58" t="s">
        <v>391</v>
      </c>
      <c r="I47" s="70" t="s">
        <v>344</v>
      </c>
      <c r="J47" s="73" t="s">
        <v>301</v>
      </c>
      <c r="K47" s="61"/>
      <c r="L47" s="335"/>
      <c r="M47" s="264"/>
      <c r="N47" s="62"/>
      <c r="O47" s="280"/>
      <c r="P47" s="264"/>
      <c r="Q47" s="56"/>
      <c r="R47" s="57"/>
      <c r="S47" s="63" t="s">
        <v>299</v>
      </c>
      <c r="T47" s="64" t="s">
        <v>300</v>
      </c>
      <c r="U47" s="62" t="s">
        <v>301</v>
      </c>
      <c r="V47" s="132"/>
      <c r="W47" s="263"/>
      <c r="X47" s="264"/>
      <c r="Y47" s="67"/>
      <c r="Z47" s="35"/>
      <c r="AA47" s="300"/>
      <c r="AB47" s="301"/>
      <c r="AC47" s="302"/>
      <c r="AD47" s="250"/>
      <c r="AE47" s="250"/>
      <c r="AF47" s="250"/>
      <c r="AG47" s="250"/>
      <c r="AH47" s="250"/>
      <c r="AI47" s="250"/>
      <c r="AJ47" s="250"/>
      <c r="AK47" s="250"/>
      <c r="AL47" s="250"/>
      <c r="AM47" s="253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7"/>
      <c r="AY47" s="35"/>
      <c r="AZ47" s="35"/>
      <c r="BA47" s="35"/>
      <c r="BB47" s="35"/>
    </row>
    <row r="48" spans="1:54" ht="15" customHeight="1" x14ac:dyDescent="0.25">
      <c r="A48" s="323"/>
      <c r="B48" s="54" t="s">
        <v>305</v>
      </c>
      <c r="C48" s="55">
        <v>4</v>
      </c>
      <c r="D48" s="280"/>
      <c r="E48" s="264"/>
      <c r="F48" s="56"/>
      <c r="G48" s="57"/>
      <c r="H48" s="58" t="s">
        <v>391</v>
      </c>
      <c r="I48" s="70" t="s">
        <v>344</v>
      </c>
      <c r="J48" s="73" t="s">
        <v>301</v>
      </c>
      <c r="K48" s="61"/>
      <c r="L48" s="335"/>
      <c r="M48" s="264"/>
      <c r="N48" s="62"/>
      <c r="O48" s="280"/>
      <c r="P48" s="264"/>
      <c r="Q48" s="56"/>
      <c r="R48" s="57"/>
      <c r="S48" s="63" t="s">
        <v>299</v>
      </c>
      <c r="T48" s="64" t="s">
        <v>300</v>
      </c>
      <c r="U48" s="62" t="s">
        <v>301</v>
      </c>
      <c r="V48" s="66"/>
      <c r="W48" s="263"/>
      <c r="X48" s="264"/>
      <c r="Y48" s="67"/>
      <c r="Z48" s="35"/>
      <c r="AA48" s="299" t="s">
        <v>393</v>
      </c>
      <c r="AB48" s="272"/>
      <c r="AC48" s="273"/>
      <c r="AD48" s="251" t="s">
        <v>386</v>
      </c>
      <c r="AE48" s="249" t="s">
        <v>387</v>
      </c>
      <c r="AF48" s="251" t="s">
        <v>386</v>
      </c>
      <c r="AG48" s="249" t="s">
        <v>387</v>
      </c>
      <c r="AH48" s="251" t="s">
        <v>386</v>
      </c>
      <c r="AI48" s="249" t="s">
        <v>387</v>
      </c>
      <c r="AJ48" s="251" t="s">
        <v>386</v>
      </c>
      <c r="AK48" s="249" t="s">
        <v>387</v>
      </c>
      <c r="AL48" s="251" t="s">
        <v>386</v>
      </c>
      <c r="AM48" s="253"/>
      <c r="AN48" s="249" t="s">
        <v>387</v>
      </c>
      <c r="AO48" s="251" t="s">
        <v>386</v>
      </c>
      <c r="AP48" s="249" t="s">
        <v>387</v>
      </c>
      <c r="AQ48" s="251" t="s">
        <v>386</v>
      </c>
      <c r="AR48" s="249" t="s">
        <v>387</v>
      </c>
      <c r="AS48" s="251" t="s">
        <v>386</v>
      </c>
      <c r="AT48" s="249" t="s">
        <v>387</v>
      </c>
      <c r="AU48" s="251" t="s">
        <v>386</v>
      </c>
      <c r="AV48" s="249" t="s">
        <v>387</v>
      </c>
      <c r="AW48" s="251" t="s">
        <v>386</v>
      </c>
      <c r="AX48" s="257"/>
      <c r="AY48" s="35"/>
      <c r="AZ48" s="35"/>
      <c r="BA48" s="35"/>
      <c r="BB48" s="35"/>
    </row>
    <row r="49" spans="1:54" ht="15" customHeight="1" x14ac:dyDescent="0.25">
      <c r="A49" s="323"/>
      <c r="B49" s="74" t="s">
        <v>308</v>
      </c>
      <c r="C49" s="75"/>
      <c r="D49" s="265"/>
      <c r="E49" s="266"/>
      <c r="F49" s="266"/>
      <c r="G49" s="283"/>
      <c r="H49" s="332" t="s">
        <v>309</v>
      </c>
      <c r="I49" s="266"/>
      <c r="J49" s="333"/>
      <c r="K49" s="339"/>
      <c r="L49" s="266"/>
      <c r="M49" s="266"/>
      <c r="N49" s="267"/>
      <c r="O49" s="265"/>
      <c r="P49" s="266"/>
      <c r="Q49" s="266"/>
      <c r="R49" s="283"/>
      <c r="S49" s="265" t="s">
        <v>309</v>
      </c>
      <c r="T49" s="266"/>
      <c r="U49" s="267"/>
      <c r="V49" s="268"/>
      <c r="W49" s="266"/>
      <c r="X49" s="266"/>
      <c r="Y49" s="267"/>
      <c r="Z49" s="35"/>
      <c r="AA49" s="303"/>
      <c r="AB49" s="304"/>
      <c r="AC49" s="30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8"/>
      <c r="AY49" s="35"/>
      <c r="AZ49" s="35"/>
      <c r="BA49" s="35"/>
      <c r="BB49" s="35"/>
    </row>
    <row r="50" spans="1:54" ht="15" customHeight="1" x14ac:dyDescent="0.25">
      <c r="A50" s="323"/>
      <c r="B50" s="76" t="s">
        <v>311</v>
      </c>
      <c r="C50" s="55">
        <v>5</v>
      </c>
      <c r="D50" s="280" t="s">
        <v>356</v>
      </c>
      <c r="E50" s="264"/>
      <c r="F50" s="56" t="s">
        <v>339</v>
      </c>
      <c r="G50" s="57" t="s">
        <v>301</v>
      </c>
      <c r="H50" s="72"/>
      <c r="I50" s="56"/>
      <c r="J50" s="73"/>
      <c r="K50" s="61" t="s">
        <v>356</v>
      </c>
      <c r="L50" s="335" t="s">
        <v>350</v>
      </c>
      <c r="M50" s="264"/>
      <c r="N50" s="62" t="s">
        <v>301</v>
      </c>
      <c r="O50" s="280"/>
      <c r="P50" s="264"/>
      <c r="Q50" s="56"/>
      <c r="R50" s="57"/>
      <c r="S50" s="63" t="s">
        <v>353</v>
      </c>
      <c r="T50" s="64" t="s">
        <v>326</v>
      </c>
      <c r="U50" s="65" t="s">
        <v>301</v>
      </c>
      <c r="V50" s="66"/>
      <c r="W50" s="263"/>
      <c r="X50" s="264"/>
      <c r="Y50" s="67"/>
      <c r="Z50" s="35"/>
      <c r="AA50" s="139"/>
      <c r="AB50" s="35"/>
      <c r="AC50" s="35"/>
      <c r="AD50" s="139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</row>
    <row r="51" spans="1:54" ht="15" customHeight="1" x14ac:dyDescent="0.25">
      <c r="A51" s="323"/>
      <c r="B51" s="76" t="s">
        <v>314</v>
      </c>
      <c r="C51" s="55">
        <v>6</v>
      </c>
      <c r="D51" s="280" t="s">
        <v>356</v>
      </c>
      <c r="E51" s="264"/>
      <c r="F51" s="56" t="s">
        <v>339</v>
      </c>
      <c r="G51" s="57" t="s">
        <v>301</v>
      </c>
      <c r="H51" s="72"/>
      <c r="I51" s="56"/>
      <c r="J51" s="73"/>
      <c r="K51" s="61" t="s">
        <v>356</v>
      </c>
      <c r="L51" s="335" t="s">
        <v>350</v>
      </c>
      <c r="M51" s="264"/>
      <c r="N51" s="62" t="s">
        <v>301</v>
      </c>
      <c r="O51" s="280"/>
      <c r="P51" s="264"/>
      <c r="Q51" s="56"/>
      <c r="R51" s="57"/>
      <c r="S51" s="63" t="s">
        <v>353</v>
      </c>
      <c r="T51" s="64" t="s">
        <v>326</v>
      </c>
      <c r="U51" s="65" t="s">
        <v>301</v>
      </c>
      <c r="V51" s="66"/>
      <c r="W51" s="263"/>
      <c r="X51" s="264"/>
      <c r="Y51" s="67"/>
      <c r="Z51" s="35"/>
      <c r="AA51" s="140" t="s">
        <v>394</v>
      </c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35"/>
      <c r="AY51" s="35"/>
      <c r="AZ51" s="35"/>
      <c r="BA51" s="35"/>
      <c r="BB51" s="35"/>
    </row>
    <row r="52" spans="1:54" ht="15" customHeight="1" x14ac:dyDescent="0.25">
      <c r="A52" s="323"/>
      <c r="B52" s="76" t="s">
        <v>321</v>
      </c>
      <c r="C52" s="55">
        <v>7</v>
      </c>
      <c r="D52" s="280" t="s">
        <v>356</v>
      </c>
      <c r="E52" s="264"/>
      <c r="F52" s="56" t="s">
        <v>339</v>
      </c>
      <c r="G52" s="57" t="s">
        <v>301</v>
      </c>
      <c r="H52" s="72"/>
      <c r="I52" s="56"/>
      <c r="J52" s="73"/>
      <c r="K52" s="61" t="s">
        <v>356</v>
      </c>
      <c r="L52" s="335" t="s">
        <v>350</v>
      </c>
      <c r="M52" s="264"/>
      <c r="N52" s="62" t="s">
        <v>301</v>
      </c>
      <c r="O52" s="280"/>
      <c r="P52" s="264"/>
      <c r="Q52" s="56"/>
      <c r="R52" s="57"/>
      <c r="S52" s="63" t="s">
        <v>353</v>
      </c>
      <c r="T52" s="64" t="s">
        <v>326</v>
      </c>
      <c r="U52" s="65" t="s">
        <v>301</v>
      </c>
      <c r="V52" s="66"/>
      <c r="W52" s="263"/>
      <c r="X52" s="264"/>
      <c r="Y52" s="67"/>
      <c r="Z52" s="35"/>
      <c r="AA52" s="141" t="s">
        <v>395</v>
      </c>
      <c r="AB52" s="140" t="s">
        <v>396</v>
      </c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38"/>
      <c r="AP52" s="140"/>
      <c r="AQ52" s="140"/>
      <c r="AR52" s="140"/>
      <c r="AS52" s="140"/>
      <c r="AT52" s="140"/>
      <c r="AU52" s="140"/>
      <c r="AV52" s="140"/>
      <c r="AW52" s="140"/>
      <c r="AX52" s="35"/>
      <c r="AY52" s="35"/>
      <c r="AZ52" s="35"/>
      <c r="BA52" s="35"/>
      <c r="BB52" s="35"/>
    </row>
    <row r="53" spans="1:54" ht="15" customHeight="1" x14ac:dyDescent="0.25">
      <c r="A53" s="323"/>
      <c r="B53" s="78" t="s">
        <v>324</v>
      </c>
      <c r="C53" s="75"/>
      <c r="D53" s="265"/>
      <c r="E53" s="266"/>
      <c r="F53" s="266"/>
      <c r="G53" s="283"/>
      <c r="H53" s="332" t="s">
        <v>325</v>
      </c>
      <c r="I53" s="266"/>
      <c r="J53" s="333"/>
      <c r="K53" s="339"/>
      <c r="L53" s="266"/>
      <c r="M53" s="266"/>
      <c r="N53" s="267"/>
      <c r="O53" s="265"/>
      <c r="P53" s="266"/>
      <c r="Q53" s="266"/>
      <c r="R53" s="283"/>
      <c r="S53" s="265" t="s">
        <v>325</v>
      </c>
      <c r="T53" s="266"/>
      <c r="U53" s="267"/>
      <c r="V53" s="268"/>
      <c r="W53" s="266"/>
      <c r="X53" s="266"/>
      <c r="Y53" s="267"/>
      <c r="Z53" s="35"/>
      <c r="AA53" s="142"/>
      <c r="AB53" s="140" t="s">
        <v>397</v>
      </c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3"/>
      <c r="AP53" s="140"/>
      <c r="AQ53" s="140"/>
      <c r="AR53" s="140"/>
      <c r="AS53" s="140"/>
      <c r="AT53" s="140"/>
      <c r="AU53" s="140"/>
      <c r="AV53" s="140"/>
      <c r="AW53" s="140"/>
      <c r="AX53" s="35"/>
      <c r="AY53" s="35"/>
      <c r="AZ53" s="35"/>
      <c r="BA53" s="35"/>
      <c r="BB53" s="35"/>
    </row>
    <row r="54" spans="1:54" ht="15" customHeight="1" x14ac:dyDescent="0.25">
      <c r="A54" s="323"/>
      <c r="B54" s="76" t="s">
        <v>328</v>
      </c>
      <c r="C54" s="55">
        <v>8</v>
      </c>
      <c r="D54" s="280" t="s">
        <v>356</v>
      </c>
      <c r="E54" s="264"/>
      <c r="F54" s="56" t="s">
        <v>339</v>
      </c>
      <c r="G54" s="57" t="s">
        <v>301</v>
      </c>
      <c r="H54" s="72"/>
      <c r="I54" s="56"/>
      <c r="J54" s="73"/>
      <c r="K54" s="61" t="s">
        <v>356</v>
      </c>
      <c r="L54" s="335" t="s">
        <v>350</v>
      </c>
      <c r="M54" s="264"/>
      <c r="N54" s="62" t="s">
        <v>301</v>
      </c>
      <c r="O54" s="280"/>
      <c r="P54" s="264"/>
      <c r="Q54" s="56"/>
      <c r="R54" s="57"/>
      <c r="S54" s="63" t="s">
        <v>148</v>
      </c>
      <c r="T54" s="64" t="s">
        <v>312</v>
      </c>
      <c r="U54" s="62" t="s">
        <v>301</v>
      </c>
      <c r="V54" s="66"/>
      <c r="W54" s="263"/>
      <c r="X54" s="264"/>
      <c r="Y54" s="67"/>
      <c r="Z54" s="35"/>
      <c r="AA54" s="141" t="s">
        <v>398</v>
      </c>
      <c r="AB54" s="290" t="s">
        <v>399</v>
      </c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292"/>
      <c r="AX54" s="35"/>
      <c r="AY54" s="35"/>
      <c r="AZ54" s="35"/>
      <c r="BA54" s="35"/>
      <c r="BB54" s="35"/>
    </row>
    <row r="55" spans="1:54" ht="15" customHeight="1" x14ac:dyDescent="0.25">
      <c r="A55" s="324"/>
      <c r="B55" s="138" t="s">
        <v>331</v>
      </c>
      <c r="C55" s="55">
        <v>9</v>
      </c>
      <c r="D55" s="287" t="s">
        <v>356</v>
      </c>
      <c r="E55" s="260"/>
      <c r="F55" s="80" t="s">
        <v>339</v>
      </c>
      <c r="G55" s="127" t="s">
        <v>301</v>
      </c>
      <c r="H55" s="82"/>
      <c r="I55" s="80"/>
      <c r="J55" s="127"/>
      <c r="K55" s="84" t="s">
        <v>356</v>
      </c>
      <c r="L55" s="337" t="s">
        <v>350</v>
      </c>
      <c r="M55" s="260"/>
      <c r="N55" s="85" t="s">
        <v>301</v>
      </c>
      <c r="O55" s="287"/>
      <c r="P55" s="260"/>
      <c r="Q55" s="80"/>
      <c r="R55" s="81"/>
      <c r="S55" s="128" t="s">
        <v>148</v>
      </c>
      <c r="T55" s="129" t="s">
        <v>312</v>
      </c>
      <c r="U55" s="85" t="s">
        <v>301</v>
      </c>
      <c r="V55" s="89"/>
      <c r="W55" s="259"/>
      <c r="X55" s="260"/>
      <c r="Y55" s="90"/>
      <c r="Z55" s="35"/>
      <c r="AA55" s="142"/>
      <c r="AB55" s="293"/>
      <c r="AC55" s="278"/>
      <c r="AD55" s="278"/>
      <c r="AE55" s="278"/>
      <c r="AF55" s="278"/>
      <c r="AG55" s="278"/>
      <c r="AH55" s="278"/>
      <c r="AI55" s="278"/>
      <c r="AJ55" s="278"/>
      <c r="AK55" s="278"/>
      <c r="AL55" s="278"/>
      <c r="AM55" s="278"/>
      <c r="AN55" s="278"/>
      <c r="AO55" s="278"/>
      <c r="AP55" s="278"/>
      <c r="AQ55" s="278"/>
      <c r="AR55" s="278"/>
      <c r="AS55" s="278"/>
      <c r="AT55" s="278"/>
      <c r="AU55" s="278"/>
      <c r="AV55" s="278"/>
      <c r="AW55" s="294"/>
      <c r="AX55" s="35"/>
      <c r="AY55" s="35"/>
      <c r="AZ55" s="35"/>
      <c r="BA55" s="35"/>
      <c r="BB55" s="35"/>
    </row>
    <row r="56" spans="1:54" ht="15" customHeight="1" x14ac:dyDescent="0.25">
      <c r="A56" s="322" t="s">
        <v>400</v>
      </c>
      <c r="B56" s="91" t="s">
        <v>291</v>
      </c>
      <c r="C56" s="92">
        <v>1</v>
      </c>
      <c r="D56" s="280" t="s">
        <v>338</v>
      </c>
      <c r="E56" s="264"/>
      <c r="F56" s="56" t="s">
        <v>339</v>
      </c>
      <c r="G56" s="57" t="s">
        <v>301</v>
      </c>
      <c r="H56" s="95"/>
      <c r="I56" s="93"/>
      <c r="J56" s="60"/>
      <c r="K56" s="96" t="s">
        <v>338</v>
      </c>
      <c r="L56" s="384" t="s">
        <v>340</v>
      </c>
      <c r="M56" s="262"/>
      <c r="N56" s="97" t="s">
        <v>301</v>
      </c>
      <c r="O56" s="289"/>
      <c r="P56" s="262"/>
      <c r="Q56" s="93"/>
      <c r="R56" s="94"/>
      <c r="S56" s="63" t="s">
        <v>329</v>
      </c>
      <c r="T56" s="64" t="s">
        <v>330</v>
      </c>
      <c r="U56" s="62" t="s">
        <v>301</v>
      </c>
      <c r="V56" s="131"/>
      <c r="W56" s="261"/>
      <c r="X56" s="262"/>
      <c r="Y56" s="102"/>
      <c r="Z56" s="35"/>
      <c r="AA56" s="142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35"/>
      <c r="AY56" s="35"/>
      <c r="AZ56" s="35"/>
      <c r="BA56" s="35"/>
      <c r="BB56" s="35"/>
    </row>
    <row r="57" spans="1:54" ht="15" customHeight="1" x14ac:dyDescent="0.25">
      <c r="A57" s="323"/>
      <c r="B57" s="54" t="s">
        <v>295</v>
      </c>
      <c r="C57" s="55">
        <v>2</v>
      </c>
      <c r="D57" s="280" t="s">
        <v>338</v>
      </c>
      <c r="E57" s="264"/>
      <c r="F57" s="56" t="s">
        <v>339</v>
      </c>
      <c r="G57" s="57" t="s">
        <v>301</v>
      </c>
      <c r="H57" s="72"/>
      <c r="I57" s="56"/>
      <c r="J57" s="71"/>
      <c r="K57" s="61" t="s">
        <v>338</v>
      </c>
      <c r="L57" s="335" t="s">
        <v>340</v>
      </c>
      <c r="M57" s="264"/>
      <c r="N57" s="62" t="s">
        <v>301</v>
      </c>
      <c r="O57" s="280"/>
      <c r="P57" s="264"/>
      <c r="Q57" s="56"/>
      <c r="R57" s="57"/>
      <c r="S57" s="63" t="s">
        <v>329</v>
      </c>
      <c r="T57" s="56" t="s">
        <v>330</v>
      </c>
      <c r="U57" s="77" t="s">
        <v>301</v>
      </c>
      <c r="V57" s="132"/>
      <c r="W57" s="263"/>
      <c r="X57" s="264"/>
      <c r="Y57" s="67"/>
      <c r="Z57" s="35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35"/>
      <c r="AY57" s="35"/>
      <c r="AZ57" s="35"/>
      <c r="BA57" s="35"/>
      <c r="BB57" s="35"/>
    </row>
    <row r="58" spans="1:54" ht="15" customHeight="1" x14ac:dyDescent="0.25">
      <c r="A58" s="323"/>
      <c r="B58" s="54" t="s">
        <v>302</v>
      </c>
      <c r="C58" s="55">
        <v>3</v>
      </c>
      <c r="D58" s="280" t="s">
        <v>338</v>
      </c>
      <c r="E58" s="264"/>
      <c r="F58" s="56" t="s">
        <v>339</v>
      </c>
      <c r="G58" s="57" t="s">
        <v>301</v>
      </c>
      <c r="H58" s="58"/>
      <c r="I58" s="70"/>
      <c r="J58" s="73"/>
      <c r="K58" s="61" t="s">
        <v>338</v>
      </c>
      <c r="L58" s="335" t="s">
        <v>340</v>
      </c>
      <c r="M58" s="264"/>
      <c r="N58" s="62" t="s">
        <v>301</v>
      </c>
      <c r="O58" s="280"/>
      <c r="P58" s="264"/>
      <c r="Q58" s="56"/>
      <c r="R58" s="57"/>
      <c r="S58" s="63" t="s">
        <v>148</v>
      </c>
      <c r="T58" s="56" t="s">
        <v>312</v>
      </c>
      <c r="U58" s="62" t="s">
        <v>301</v>
      </c>
      <c r="V58" s="132"/>
      <c r="W58" s="263"/>
      <c r="X58" s="264"/>
      <c r="Y58" s="67"/>
      <c r="Z58" s="35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35"/>
      <c r="AY58" s="35"/>
      <c r="AZ58" s="35"/>
      <c r="BA58" s="35"/>
      <c r="BB58" s="35"/>
    </row>
    <row r="59" spans="1:54" ht="15" customHeight="1" x14ac:dyDescent="0.25">
      <c r="A59" s="323"/>
      <c r="B59" s="54" t="s">
        <v>305</v>
      </c>
      <c r="C59" s="55">
        <v>4</v>
      </c>
      <c r="D59" s="280" t="s">
        <v>338</v>
      </c>
      <c r="E59" s="264"/>
      <c r="F59" s="56" t="s">
        <v>339</v>
      </c>
      <c r="G59" s="57" t="s">
        <v>301</v>
      </c>
      <c r="H59" s="58"/>
      <c r="I59" s="56"/>
      <c r="J59" s="73"/>
      <c r="K59" s="61" t="s">
        <v>338</v>
      </c>
      <c r="L59" s="335" t="s">
        <v>340</v>
      </c>
      <c r="M59" s="264"/>
      <c r="N59" s="62" t="s">
        <v>301</v>
      </c>
      <c r="O59" s="280"/>
      <c r="P59" s="264"/>
      <c r="Q59" s="56"/>
      <c r="R59" s="57"/>
      <c r="S59" s="63" t="s">
        <v>148</v>
      </c>
      <c r="T59" s="56" t="s">
        <v>312</v>
      </c>
      <c r="U59" s="62" t="s">
        <v>301</v>
      </c>
      <c r="V59" s="66"/>
      <c r="W59" s="263"/>
      <c r="X59" s="264"/>
      <c r="Y59" s="67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8" t="s">
        <v>401</v>
      </c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</row>
    <row r="60" spans="1:54" ht="15" customHeight="1" x14ac:dyDescent="0.25">
      <c r="A60" s="323"/>
      <c r="B60" s="78" t="s">
        <v>308</v>
      </c>
      <c r="C60" s="75"/>
      <c r="D60" s="265"/>
      <c r="E60" s="266"/>
      <c r="F60" s="266"/>
      <c r="G60" s="283"/>
      <c r="H60" s="332" t="s">
        <v>309</v>
      </c>
      <c r="I60" s="266"/>
      <c r="J60" s="333"/>
      <c r="K60" s="339"/>
      <c r="L60" s="266"/>
      <c r="M60" s="266"/>
      <c r="N60" s="267"/>
      <c r="O60" s="265"/>
      <c r="P60" s="266"/>
      <c r="Q60" s="266"/>
      <c r="R60" s="283"/>
      <c r="S60" s="265" t="s">
        <v>309</v>
      </c>
      <c r="T60" s="266"/>
      <c r="U60" s="267"/>
      <c r="V60" s="268"/>
      <c r="W60" s="266"/>
      <c r="X60" s="266"/>
      <c r="Y60" s="267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143" t="s">
        <v>402</v>
      </c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</row>
    <row r="61" spans="1:54" ht="15" customHeight="1" x14ac:dyDescent="0.25">
      <c r="A61" s="323"/>
      <c r="B61" s="54" t="s">
        <v>311</v>
      </c>
      <c r="C61" s="55">
        <v>5</v>
      </c>
      <c r="D61" s="280" t="s">
        <v>338</v>
      </c>
      <c r="E61" s="264"/>
      <c r="F61" s="56" t="s">
        <v>339</v>
      </c>
      <c r="G61" s="57" t="s">
        <v>301</v>
      </c>
      <c r="H61" s="58"/>
      <c r="I61" s="56"/>
      <c r="J61" s="73"/>
      <c r="K61" s="61" t="s">
        <v>338</v>
      </c>
      <c r="L61" s="335" t="s">
        <v>340</v>
      </c>
      <c r="M61" s="264"/>
      <c r="N61" s="62" t="s">
        <v>301</v>
      </c>
      <c r="O61" s="280"/>
      <c r="P61" s="264"/>
      <c r="Q61" s="56"/>
      <c r="R61" s="57"/>
      <c r="S61" s="63" t="s">
        <v>341</v>
      </c>
      <c r="T61" s="64" t="s">
        <v>319</v>
      </c>
      <c r="U61" s="77" t="s">
        <v>301</v>
      </c>
      <c r="V61" s="66"/>
      <c r="W61" s="263"/>
      <c r="X61" s="264"/>
      <c r="Y61" s="67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143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</row>
    <row r="62" spans="1:54" ht="15" customHeight="1" x14ac:dyDescent="0.25">
      <c r="A62" s="324"/>
      <c r="B62" s="138" t="s">
        <v>314</v>
      </c>
      <c r="C62" s="144">
        <v>6</v>
      </c>
      <c r="D62" s="287" t="s">
        <v>338</v>
      </c>
      <c r="E62" s="260"/>
      <c r="F62" s="80" t="s">
        <v>339</v>
      </c>
      <c r="G62" s="127" t="s">
        <v>301</v>
      </c>
      <c r="H62" s="145"/>
      <c r="I62" s="80"/>
      <c r="J62" s="127"/>
      <c r="K62" s="82" t="s">
        <v>338</v>
      </c>
      <c r="L62" s="337" t="s">
        <v>340</v>
      </c>
      <c r="M62" s="260"/>
      <c r="N62" s="85" t="s">
        <v>301</v>
      </c>
      <c r="O62" s="287"/>
      <c r="P62" s="260"/>
      <c r="Q62" s="80"/>
      <c r="R62" s="81"/>
      <c r="S62" s="128" t="s">
        <v>341</v>
      </c>
      <c r="T62" s="129" t="s">
        <v>319</v>
      </c>
      <c r="U62" s="85" t="s">
        <v>301</v>
      </c>
      <c r="V62" s="89"/>
      <c r="W62" s="259"/>
      <c r="X62" s="260"/>
      <c r="Y62" s="90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143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</row>
    <row r="63" spans="1:54" ht="15" customHeight="1" x14ac:dyDescent="0.25">
      <c r="A63" s="325" t="s">
        <v>403</v>
      </c>
      <c r="B63" s="91" t="s">
        <v>291</v>
      </c>
      <c r="C63" s="92">
        <v>1</v>
      </c>
      <c r="D63" s="289"/>
      <c r="E63" s="262"/>
      <c r="F63" s="93"/>
      <c r="G63" s="94"/>
      <c r="H63" s="95" t="s">
        <v>404</v>
      </c>
      <c r="I63" s="56" t="s">
        <v>342</v>
      </c>
      <c r="J63" s="146" t="s">
        <v>301</v>
      </c>
      <c r="K63" s="96"/>
      <c r="L63" s="384"/>
      <c r="M63" s="262"/>
      <c r="N63" s="97"/>
      <c r="O63" s="288"/>
      <c r="P63" s="270"/>
      <c r="Q63" s="99"/>
      <c r="R63" s="147"/>
      <c r="S63" s="148" t="s">
        <v>317</v>
      </c>
      <c r="T63" s="149" t="s">
        <v>318</v>
      </c>
      <c r="U63" s="62" t="s">
        <v>301</v>
      </c>
      <c r="V63" s="150"/>
      <c r="W63" s="269"/>
      <c r="X63" s="270"/>
      <c r="Y63" s="151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143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</row>
    <row r="64" spans="1:54" ht="15" customHeight="1" x14ac:dyDescent="0.25">
      <c r="A64" s="323"/>
      <c r="B64" s="54" t="s">
        <v>295</v>
      </c>
      <c r="C64" s="55">
        <v>2</v>
      </c>
      <c r="D64" s="280"/>
      <c r="E64" s="264"/>
      <c r="F64" s="56"/>
      <c r="G64" s="57"/>
      <c r="H64" s="72" t="s">
        <v>404</v>
      </c>
      <c r="I64" s="56" t="s">
        <v>342</v>
      </c>
      <c r="J64" s="71" t="s">
        <v>301</v>
      </c>
      <c r="K64" s="61"/>
      <c r="L64" s="335"/>
      <c r="M64" s="264"/>
      <c r="N64" s="62"/>
      <c r="O64" s="280"/>
      <c r="P64" s="264"/>
      <c r="Q64" s="56"/>
      <c r="R64" s="57"/>
      <c r="S64" s="63" t="s">
        <v>317</v>
      </c>
      <c r="T64" s="64" t="s">
        <v>318</v>
      </c>
      <c r="U64" s="77" t="s">
        <v>301</v>
      </c>
      <c r="V64" s="132"/>
      <c r="W64" s="263"/>
      <c r="X64" s="264"/>
      <c r="Y64" s="67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143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</row>
    <row r="65" spans="1:54" ht="15" customHeight="1" x14ac:dyDescent="0.25">
      <c r="A65" s="323"/>
      <c r="B65" s="54" t="s">
        <v>302</v>
      </c>
      <c r="C65" s="55">
        <v>3</v>
      </c>
      <c r="D65" s="280"/>
      <c r="E65" s="264"/>
      <c r="F65" s="56"/>
      <c r="G65" s="57"/>
      <c r="H65" s="72" t="s">
        <v>404</v>
      </c>
      <c r="I65" s="56" t="s">
        <v>342</v>
      </c>
      <c r="J65" s="73" t="s">
        <v>301</v>
      </c>
      <c r="K65" s="61"/>
      <c r="L65" s="335"/>
      <c r="M65" s="264"/>
      <c r="N65" s="62"/>
      <c r="O65" s="280"/>
      <c r="P65" s="264"/>
      <c r="Q65" s="56"/>
      <c r="R65" s="57"/>
      <c r="S65" s="63" t="s">
        <v>329</v>
      </c>
      <c r="T65" s="64" t="s">
        <v>330</v>
      </c>
      <c r="U65" s="65" t="s">
        <v>301</v>
      </c>
      <c r="V65" s="132"/>
      <c r="W65" s="263"/>
      <c r="X65" s="264"/>
      <c r="Y65" s="67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152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</row>
    <row r="66" spans="1:54" ht="15" customHeight="1" x14ac:dyDescent="0.25">
      <c r="A66" s="323"/>
      <c r="B66" s="54" t="s">
        <v>305</v>
      </c>
      <c r="C66" s="55">
        <v>4</v>
      </c>
      <c r="D66" s="280"/>
      <c r="E66" s="264"/>
      <c r="F66" s="56"/>
      <c r="G66" s="57"/>
      <c r="H66" s="72" t="s">
        <v>404</v>
      </c>
      <c r="I66" s="56" t="s">
        <v>342</v>
      </c>
      <c r="J66" s="73" t="s">
        <v>301</v>
      </c>
      <c r="K66" s="61"/>
      <c r="L66" s="335"/>
      <c r="M66" s="264"/>
      <c r="N66" s="62"/>
      <c r="O66" s="280"/>
      <c r="P66" s="264"/>
      <c r="Q66" s="56"/>
      <c r="R66" s="57"/>
      <c r="S66" s="63" t="s">
        <v>329</v>
      </c>
      <c r="T66" s="64" t="s">
        <v>330</v>
      </c>
      <c r="U66" s="65" t="s">
        <v>301</v>
      </c>
      <c r="V66" s="66"/>
      <c r="W66" s="263"/>
      <c r="X66" s="264"/>
      <c r="Y66" s="67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8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</row>
    <row r="67" spans="1:54" ht="15" customHeight="1" x14ac:dyDescent="0.25">
      <c r="A67" s="323"/>
      <c r="B67" s="78" t="s">
        <v>308</v>
      </c>
      <c r="C67" s="75"/>
      <c r="D67" s="265"/>
      <c r="E67" s="266"/>
      <c r="F67" s="266"/>
      <c r="G67" s="283"/>
      <c r="H67" s="332" t="s">
        <v>309</v>
      </c>
      <c r="I67" s="266"/>
      <c r="J67" s="333"/>
      <c r="K67" s="339"/>
      <c r="L67" s="266"/>
      <c r="M67" s="266"/>
      <c r="N67" s="267"/>
      <c r="O67" s="265"/>
      <c r="P67" s="266"/>
      <c r="Q67" s="266"/>
      <c r="R67" s="283"/>
      <c r="S67" s="265" t="s">
        <v>309</v>
      </c>
      <c r="T67" s="266"/>
      <c r="U67" s="267"/>
      <c r="V67" s="268"/>
      <c r="W67" s="266"/>
      <c r="X67" s="266"/>
      <c r="Y67" s="267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143" t="s">
        <v>405</v>
      </c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</row>
    <row r="68" spans="1:54" ht="15" customHeight="1" x14ac:dyDescent="0.25">
      <c r="A68" s="323"/>
      <c r="B68" s="76" t="s">
        <v>311</v>
      </c>
      <c r="C68" s="55">
        <v>5</v>
      </c>
      <c r="D68" s="280" t="s">
        <v>338</v>
      </c>
      <c r="E68" s="264"/>
      <c r="F68" s="56" t="s">
        <v>339</v>
      </c>
      <c r="G68" s="57" t="s">
        <v>301</v>
      </c>
      <c r="H68" s="72"/>
      <c r="I68" s="56"/>
      <c r="J68" s="73"/>
      <c r="K68" s="61" t="s">
        <v>338</v>
      </c>
      <c r="L68" s="335" t="s">
        <v>340</v>
      </c>
      <c r="M68" s="264"/>
      <c r="N68" s="62" t="s">
        <v>301</v>
      </c>
      <c r="O68" s="280"/>
      <c r="P68" s="264"/>
      <c r="Q68" s="56"/>
      <c r="R68" s="57"/>
      <c r="S68" s="63" t="s">
        <v>357</v>
      </c>
      <c r="T68" s="64" t="s">
        <v>358</v>
      </c>
      <c r="U68" s="62" t="s">
        <v>301</v>
      </c>
      <c r="V68" s="66"/>
      <c r="W68" s="263"/>
      <c r="X68" s="264"/>
      <c r="Y68" s="67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143" t="s">
        <v>406</v>
      </c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</row>
    <row r="69" spans="1:54" ht="15" customHeight="1" x14ac:dyDescent="0.25">
      <c r="A69" s="323"/>
      <c r="B69" s="76" t="s">
        <v>314</v>
      </c>
      <c r="C69" s="55">
        <v>6</v>
      </c>
      <c r="D69" s="280" t="s">
        <v>338</v>
      </c>
      <c r="E69" s="264"/>
      <c r="F69" s="56" t="s">
        <v>339</v>
      </c>
      <c r="G69" s="57" t="s">
        <v>301</v>
      </c>
      <c r="H69" s="72"/>
      <c r="I69" s="56"/>
      <c r="J69" s="73"/>
      <c r="K69" s="61" t="s">
        <v>338</v>
      </c>
      <c r="L69" s="335" t="s">
        <v>340</v>
      </c>
      <c r="M69" s="264"/>
      <c r="N69" s="62" t="s">
        <v>301</v>
      </c>
      <c r="O69" s="280"/>
      <c r="P69" s="264"/>
      <c r="Q69" s="56"/>
      <c r="R69" s="57"/>
      <c r="S69" s="63" t="s">
        <v>357</v>
      </c>
      <c r="T69" s="64" t="s">
        <v>358</v>
      </c>
      <c r="U69" s="62" t="s">
        <v>301</v>
      </c>
      <c r="V69" s="66"/>
      <c r="W69" s="263"/>
      <c r="X69" s="264"/>
      <c r="Y69" s="67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</row>
    <row r="70" spans="1:54" ht="15" customHeight="1" x14ac:dyDescent="0.25">
      <c r="A70" s="326"/>
      <c r="B70" s="153" t="s">
        <v>321</v>
      </c>
      <c r="C70" s="154">
        <v>7</v>
      </c>
      <c r="D70" s="280" t="s">
        <v>338</v>
      </c>
      <c r="E70" s="264"/>
      <c r="F70" s="56" t="s">
        <v>339</v>
      </c>
      <c r="G70" s="57" t="s">
        <v>301</v>
      </c>
      <c r="H70" s="155"/>
      <c r="I70" s="156"/>
      <c r="J70" s="157"/>
      <c r="K70" s="158" t="s">
        <v>338</v>
      </c>
      <c r="L70" s="336" t="s">
        <v>340</v>
      </c>
      <c r="M70" s="282"/>
      <c r="N70" s="159" t="s">
        <v>301</v>
      </c>
      <c r="O70" s="281"/>
      <c r="P70" s="282"/>
      <c r="Q70" s="156"/>
      <c r="R70" s="160"/>
      <c r="S70" s="161" t="s">
        <v>357</v>
      </c>
      <c r="T70" s="162" t="s">
        <v>358</v>
      </c>
      <c r="U70" s="159" t="s">
        <v>301</v>
      </c>
      <c r="V70" s="163"/>
      <c r="W70" s="284"/>
      <c r="X70" s="282"/>
      <c r="Y70" s="164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</row>
    <row r="71" spans="1:54" ht="1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</row>
    <row r="72" spans="1:54" ht="15" customHeight="1" x14ac:dyDescent="0.25">
      <c r="A72" s="377" t="s">
        <v>260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291"/>
      <c r="AX72" s="292"/>
      <c r="AY72" s="35"/>
      <c r="AZ72" s="35"/>
      <c r="BA72" s="35"/>
      <c r="BB72" s="35"/>
    </row>
    <row r="73" spans="1:54" ht="15" customHeight="1" x14ac:dyDescent="0.25">
      <c r="A73" s="293"/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  <c r="AK73" s="278"/>
      <c r="AL73" s="278"/>
      <c r="AM73" s="278"/>
      <c r="AN73" s="278"/>
      <c r="AO73" s="278"/>
      <c r="AP73" s="278"/>
      <c r="AQ73" s="278"/>
      <c r="AR73" s="278"/>
      <c r="AS73" s="278"/>
      <c r="AT73" s="278"/>
      <c r="AU73" s="278"/>
      <c r="AV73" s="278"/>
      <c r="AW73" s="278"/>
      <c r="AX73" s="294"/>
      <c r="AY73" s="35"/>
      <c r="AZ73" s="35"/>
      <c r="BA73" s="35"/>
      <c r="BB73" s="35"/>
    </row>
    <row r="74" spans="1:54" ht="1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7" t="s">
        <v>407</v>
      </c>
      <c r="L74" s="35"/>
      <c r="M74" s="36"/>
      <c r="N74" s="36"/>
      <c r="O74" s="36"/>
      <c r="P74" s="36"/>
      <c r="Q74" s="36"/>
      <c r="R74" s="36"/>
      <c r="S74" s="38" t="str">
        <f t="shared" ref="S74:S75" si="0">S4</f>
        <v>:  Pengembangan Perangkat Lunak dan GIM</v>
      </c>
      <c r="T74" s="36"/>
      <c r="U74" s="36"/>
      <c r="V74" s="36"/>
      <c r="W74" s="36"/>
      <c r="X74" s="36"/>
      <c r="Y74" s="36"/>
      <c r="Z74" s="36"/>
      <c r="AA74" s="36"/>
      <c r="AB74" s="35"/>
      <c r="AC74" s="35"/>
      <c r="AD74" s="38" t="s">
        <v>263</v>
      </c>
      <c r="AE74" s="36"/>
      <c r="AF74" s="36"/>
      <c r="AG74" s="38" t="s">
        <v>408</v>
      </c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5"/>
      <c r="AZ74" s="35"/>
      <c r="BA74" s="35"/>
      <c r="BB74" s="35"/>
    </row>
    <row r="75" spans="1:54" ht="1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7" t="s">
        <v>409</v>
      </c>
      <c r="L75" s="35"/>
      <c r="M75" s="36"/>
      <c r="N75" s="36"/>
      <c r="O75" s="36"/>
      <c r="P75" s="36"/>
      <c r="Q75" s="36"/>
      <c r="R75" s="36"/>
      <c r="S75" s="38" t="str">
        <f t="shared" si="0"/>
        <v>:  Teknik Komputer dan Informatika</v>
      </c>
      <c r="T75" s="36"/>
      <c r="U75" s="36"/>
      <c r="V75" s="36"/>
      <c r="W75" s="36"/>
      <c r="X75" s="36"/>
      <c r="Y75" s="36"/>
      <c r="Z75" s="35"/>
      <c r="AA75" s="35"/>
      <c r="AB75" s="35"/>
      <c r="AC75" s="35"/>
      <c r="AD75" s="38" t="s">
        <v>267</v>
      </c>
      <c r="AE75" s="35"/>
      <c r="AF75" s="35"/>
      <c r="AG75" s="38" t="str">
        <f>AG5</f>
        <v>:  2021/2022</v>
      </c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</row>
    <row r="76" spans="1:54" ht="15" customHeight="1" x14ac:dyDescent="0.25">
      <c r="A76" s="35"/>
      <c r="B76" s="38"/>
      <c r="C76" s="38"/>
      <c r="D76" s="38"/>
      <c r="E76" s="35"/>
      <c r="F76" s="38"/>
      <c r="G76" s="38"/>
      <c r="H76" s="38"/>
      <c r="I76" s="38"/>
      <c r="J76" s="35"/>
      <c r="K76" s="35"/>
      <c r="L76" s="35"/>
      <c r="M76" s="35"/>
      <c r="N76" s="35"/>
      <c r="O76" s="35"/>
      <c r="P76" s="35"/>
      <c r="Q76" s="35"/>
      <c r="R76" s="35"/>
      <c r="S76" s="38"/>
      <c r="T76" s="35"/>
      <c r="U76" s="38"/>
      <c r="V76" s="38"/>
      <c r="W76" s="35"/>
      <c r="X76" s="35"/>
      <c r="Y76" s="38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</row>
    <row r="77" spans="1:54" ht="15" customHeight="1" x14ac:dyDescent="0.25">
      <c r="A77" s="39" t="s">
        <v>269</v>
      </c>
      <c r="B77" s="38"/>
      <c r="C77" s="38"/>
      <c r="D77" s="38"/>
      <c r="E77" s="35"/>
      <c r="F77" s="38"/>
      <c r="G77" s="38"/>
      <c r="H77" s="38"/>
      <c r="I77" s="38"/>
      <c r="J77" s="35"/>
      <c r="K77" s="35"/>
      <c r="L77" s="35"/>
      <c r="M77" s="35"/>
      <c r="N77" s="35"/>
      <c r="O77" s="35"/>
      <c r="P77" s="35"/>
      <c r="Q77" s="35"/>
      <c r="R77" s="35"/>
      <c r="S77" s="38"/>
      <c r="T77" s="35"/>
      <c r="U77" s="38"/>
      <c r="V77" s="38"/>
      <c r="W77" s="35"/>
      <c r="X77" s="35"/>
      <c r="Y77" s="38"/>
      <c r="Z77" s="35"/>
      <c r="AA77" s="39" t="s">
        <v>270</v>
      </c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40" t="s">
        <v>410</v>
      </c>
      <c r="AY77" s="35"/>
      <c r="AZ77" s="35"/>
      <c r="BA77" s="35"/>
      <c r="BB77" s="35"/>
    </row>
    <row r="78" spans="1:54" ht="3.75" customHeight="1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</row>
    <row r="79" spans="1:54" ht="38.25" customHeight="1" x14ac:dyDescent="0.25">
      <c r="A79" s="41"/>
      <c r="B79" s="42"/>
      <c r="C79" s="42"/>
      <c r="D79" s="389" t="s">
        <v>272</v>
      </c>
      <c r="E79" s="379"/>
      <c r="F79" s="379"/>
      <c r="G79" s="379"/>
      <c r="H79" s="379"/>
      <c r="I79" s="379"/>
      <c r="J79" s="379"/>
      <c r="K79" s="379"/>
      <c r="L79" s="379"/>
      <c r="M79" s="379"/>
      <c r="N79" s="380"/>
      <c r="O79" s="389" t="s">
        <v>273</v>
      </c>
      <c r="P79" s="379"/>
      <c r="Q79" s="379"/>
      <c r="R79" s="379"/>
      <c r="S79" s="379"/>
      <c r="T79" s="379"/>
      <c r="U79" s="380"/>
      <c r="V79" s="43"/>
      <c r="W79" s="43"/>
      <c r="X79" s="43"/>
      <c r="Y79" s="44"/>
      <c r="Z79" s="35"/>
      <c r="AA79" s="327" t="s">
        <v>274</v>
      </c>
      <c r="AB79" s="360" t="s">
        <v>275</v>
      </c>
      <c r="AC79" s="361"/>
      <c r="AD79" s="360" t="s">
        <v>276</v>
      </c>
      <c r="AE79" s="365"/>
      <c r="AF79" s="365"/>
      <c r="AG79" s="365"/>
      <c r="AH79" s="365"/>
      <c r="AI79" s="365"/>
      <c r="AJ79" s="365"/>
      <c r="AK79" s="361"/>
      <c r="AL79" s="378" t="s">
        <v>277</v>
      </c>
      <c r="AM79" s="379"/>
      <c r="AN79" s="379"/>
      <c r="AO79" s="379"/>
      <c r="AP79" s="379"/>
      <c r="AQ79" s="379"/>
      <c r="AR79" s="379"/>
      <c r="AS79" s="379"/>
      <c r="AT79" s="379"/>
      <c r="AU79" s="379"/>
      <c r="AV79" s="379"/>
      <c r="AW79" s="379"/>
      <c r="AX79" s="380"/>
      <c r="AY79" s="35"/>
      <c r="AZ79" s="35"/>
      <c r="BA79" s="35"/>
      <c r="BB79" s="35"/>
    </row>
    <row r="80" spans="1:54" ht="12.75" customHeight="1" x14ac:dyDescent="0.25">
      <c r="A80" s="327" t="s">
        <v>278</v>
      </c>
      <c r="B80" s="329" t="s">
        <v>279</v>
      </c>
      <c r="C80" s="330" t="s">
        <v>280</v>
      </c>
      <c r="D80" s="358" t="s">
        <v>281</v>
      </c>
      <c r="E80" s="351"/>
      <c r="F80" s="351"/>
      <c r="G80" s="352"/>
      <c r="H80" s="359" t="s">
        <v>282</v>
      </c>
      <c r="I80" s="351"/>
      <c r="J80" s="352"/>
      <c r="K80" s="359" t="s">
        <v>283</v>
      </c>
      <c r="L80" s="351"/>
      <c r="M80" s="351"/>
      <c r="N80" s="368"/>
      <c r="O80" s="358" t="s">
        <v>284</v>
      </c>
      <c r="P80" s="351"/>
      <c r="Q80" s="351"/>
      <c r="R80" s="352"/>
      <c r="S80" s="359" t="s">
        <v>282</v>
      </c>
      <c r="T80" s="351"/>
      <c r="U80" s="368"/>
      <c r="V80" s="367" t="s">
        <v>285</v>
      </c>
      <c r="W80" s="351"/>
      <c r="X80" s="351"/>
      <c r="Y80" s="368"/>
      <c r="Z80" s="35"/>
      <c r="AA80" s="323"/>
      <c r="AB80" s="362"/>
      <c r="AC80" s="276"/>
      <c r="AD80" s="362"/>
      <c r="AE80" s="275"/>
      <c r="AF80" s="275"/>
      <c r="AG80" s="275"/>
      <c r="AH80" s="275"/>
      <c r="AI80" s="275"/>
      <c r="AJ80" s="275"/>
      <c r="AK80" s="276"/>
      <c r="AL80" s="369" t="s">
        <v>286</v>
      </c>
      <c r="AM80" s="272"/>
      <c r="AN80" s="273"/>
      <c r="AO80" s="370" t="s">
        <v>287</v>
      </c>
      <c r="AP80" s="272"/>
      <c r="AQ80" s="272"/>
      <c r="AR80" s="272"/>
      <c r="AS80" s="272"/>
      <c r="AT80" s="272"/>
      <c r="AU80" s="272"/>
      <c r="AV80" s="272"/>
      <c r="AW80" s="272"/>
      <c r="AX80" s="371"/>
      <c r="AY80" s="35"/>
      <c r="AZ80" s="35"/>
      <c r="BA80" s="35"/>
      <c r="BB80" s="35"/>
    </row>
    <row r="81" spans="1:54" ht="28.5" customHeight="1" x14ac:dyDescent="0.25">
      <c r="A81" s="328"/>
      <c r="B81" s="254"/>
      <c r="C81" s="258"/>
      <c r="D81" s="373" t="s">
        <v>288</v>
      </c>
      <c r="E81" s="374"/>
      <c r="F81" s="45" t="s">
        <v>275</v>
      </c>
      <c r="G81" s="46" t="s">
        <v>289</v>
      </c>
      <c r="H81" s="47" t="s">
        <v>288</v>
      </c>
      <c r="I81" s="45" t="s">
        <v>275</v>
      </c>
      <c r="J81" s="46" t="s">
        <v>289</v>
      </c>
      <c r="K81" s="47" t="s">
        <v>288</v>
      </c>
      <c r="L81" s="375" t="s">
        <v>275</v>
      </c>
      <c r="M81" s="374"/>
      <c r="N81" s="48" t="s">
        <v>289</v>
      </c>
      <c r="O81" s="373" t="s">
        <v>288</v>
      </c>
      <c r="P81" s="374"/>
      <c r="Q81" s="45" t="s">
        <v>275</v>
      </c>
      <c r="R81" s="46" t="s">
        <v>289</v>
      </c>
      <c r="S81" s="47" t="s">
        <v>288</v>
      </c>
      <c r="T81" s="45" t="s">
        <v>275</v>
      </c>
      <c r="U81" s="48" t="s">
        <v>289</v>
      </c>
      <c r="V81" s="49" t="s">
        <v>288</v>
      </c>
      <c r="W81" s="376" t="s">
        <v>275</v>
      </c>
      <c r="X81" s="374"/>
      <c r="Y81" s="50" t="s">
        <v>289</v>
      </c>
      <c r="Z81" s="35"/>
      <c r="AA81" s="328"/>
      <c r="AB81" s="363"/>
      <c r="AC81" s="364"/>
      <c r="AD81" s="363"/>
      <c r="AE81" s="366"/>
      <c r="AF81" s="366"/>
      <c r="AG81" s="366"/>
      <c r="AH81" s="366"/>
      <c r="AI81" s="366"/>
      <c r="AJ81" s="366"/>
      <c r="AK81" s="364"/>
      <c r="AL81" s="363"/>
      <c r="AM81" s="366"/>
      <c r="AN81" s="364"/>
      <c r="AO81" s="363"/>
      <c r="AP81" s="366"/>
      <c r="AQ81" s="366"/>
      <c r="AR81" s="366"/>
      <c r="AS81" s="366"/>
      <c r="AT81" s="366"/>
      <c r="AU81" s="366"/>
      <c r="AV81" s="366"/>
      <c r="AW81" s="366"/>
      <c r="AX81" s="372"/>
      <c r="AY81" s="35"/>
      <c r="AZ81" s="35"/>
      <c r="BA81" s="35"/>
      <c r="BB81" s="35"/>
    </row>
    <row r="82" spans="1:54" ht="15" customHeight="1" x14ac:dyDescent="0.25">
      <c r="A82" s="331" t="s">
        <v>290</v>
      </c>
      <c r="B82" s="51" t="s">
        <v>291</v>
      </c>
      <c r="C82" s="52">
        <v>1</v>
      </c>
      <c r="D82" s="402" t="s">
        <v>292</v>
      </c>
      <c r="E82" s="346"/>
      <c r="F82" s="346"/>
      <c r="G82" s="403"/>
      <c r="H82" s="406" t="s">
        <v>293</v>
      </c>
      <c r="I82" s="346"/>
      <c r="J82" s="403"/>
      <c r="K82" s="406" t="s">
        <v>294</v>
      </c>
      <c r="L82" s="346"/>
      <c r="M82" s="346"/>
      <c r="N82" s="347"/>
      <c r="O82" s="402" t="s">
        <v>292</v>
      </c>
      <c r="P82" s="346"/>
      <c r="Q82" s="346"/>
      <c r="R82" s="403"/>
      <c r="S82" s="406" t="s">
        <v>293</v>
      </c>
      <c r="T82" s="346"/>
      <c r="U82" s="403"/>
      <c r="V82" s="345" t="s">
        <v>294</v>
      </c>
      <c r="W82" s="346"/>
      <c r="X82" s="346"/>
      <c r="Y82" s="347"/>
      <c r="Z82" s="35"/>
      <c r="AA82" s="53">
        <v>1</v>
      </c>
      <c r="AB82" s="308" t="s">
        <v>411</v>
      </c>
      <c r="AC82" s="309"/>
      <c r="AD82" s="348" t="s">
        <v>412</v>
      </c>
      <c r="AE82" s="349"/>
      <c r="AF82" s="349"/>
      <c r="AG82" s="349"/>
      <c r="AH82" s="349"/>
      <c r="AI82" s="349"/>
      <c r="AJ82" s="349"/>
      <c r="AK82" s="309"/>
      <c r="AL82" s="308" t="s">
        <v>357</v>
      </c>
      <c r="AM82" s="349"/>
      <c r="AN82" s="309"/>
      <c r="AO82" s="348" t="s">
        <v>413</v>
      </c>
      <c r="AP82" s="349"/>
      <c r="AQ82" s="349"/>
      <c r="AR82" s="349"/>
      <c r="AS82" s="349"/>
      <c r="AT82" s="349"/>
      <c r="AU82" s="349"/>
      <c r="AV82" s="349"/>
      <c r="AW82" s="349"/>
      <c r="AX82" s="398"/>
      <c r="AY82" s="35"/>
      <c r="AZ82" s="35"/>
      <c r="BA82" s="35"/>
      <c r="BB82" s="35"/>
    </row>
    <row r="83" spans="1:54" ht="15" customHeight="1" x14ac:dyDescent="0.25">
      <c r="A83" s="323"/>
      <c r="B83" s="54" t="s">
        <v>295</v>
      </c>
      <c r="C83" s="55">
        <v>2</v>
      </c>
      <c r="D83" s="280" t="s">
        <v>414</v>
      </c>
      <c r="E83" s="264"/>
      <c r="F83" s="56" t="s">
        <v>339</v>
      </c>
      <c r="G83" s="57" t="s">
        <v>301</v>
      </c>
      <c r="H83" s="58"/>
      <c r="I83" s="59"/>
      <c r="J83" s="60"/>
      <c r="K83" s="61" t="s">
        <v>414</v>
      </c>
      <c r="L83" s="335" t="s">
        <v>415</v>
      </c>
      <c r="M83" s="264"/>
      <c r="N83" s="62" t="s">
        <v>301</v>
      </c>
      <c r="O83" s="280"/>
      <c r="P83" s="264"/>
      <c r="Q83" s="56"/>
      <c r="R83" s="57"/>
      <c r="S83" s="165" t="s">
        <v>341</v>
      </c>
      <c r="T83" s="166" t="s">
        <v>416</v>
      </c>
      <c r="U83" s="65" t="s">
        <v>417</v>
      </c>
      <c r="V83" s="66"/>
      <c r="W83" s="263"/>
      <c r="X83" s="264"/>
      <c r="Y83" s="67"/>
      <c r="Z83" s="35"/>
      <c r="AA83" s="68">
        <v>2</v>
      </c>
      <c r="AB83" s="310" t="s">
        <v>418</v>
      </c>
      <c r="AC83" s="243"/>
      <c r="AD83" s="340" t="s">
        <v>419</v>
      </c>
      <c r="AE83" s="242"/>
      <c r="AF83" s="242"/>
      <c r="AG83" s="242"/>
      <c r="AH83" s="242"/>
      <c r="AI83" s="242"/>
      <c r="AJ83" s="242"/>
      <c r="AK83" s="243"/>
      <c r="AL83" s="310" t="s">
        <v>357</v>
      </c>
      <c r="AM83" s="242"/>
      <c r="AN83" s="243"/>
      <c r="AO83" s="340" t="s">
        <v>420</v>
      </c>
      <c r="AP83" s="242"/>
      <c r="AQ83" s="242"/>
      <c r="AR83" s="242"/>
      <c r="AS83" s="242"/>
      <c r="AT83" s="242"/>
      <c r="AU83" s="242"/>
      <c r="AV83" s="242"/>
      <c r="AW83" s="242"/>
      <c r="AX83" s="385"/>
      <c r="AY83" s="35"/>
      <c r="AZ83" s="35"/>
      <c r="BA83" s="35"/>
      <c r="BB83" s="35"/>
    </row>
    <row r="84" spans="1:54" ht="15" customHeight="1" x14ac:dyDescent="0.25">
      <c r="A84" s="323"/>
      <c r="B84" s="54" t="s">
        <v>302</v>
      </c>
      <c r="C84" s="55">
        <v>3</v>
      </c>
      <c r="D84" s="280" t="s">
        <v>414</v>
      </c>
      <c r="E84" s="264"/>
      <c r="F84" s="56" t="s">
        <v>339</v>
      </c>
      <c r="G84" s="57" t="s">
        <v>301</v>
      </c>
      <c r="H84" s="58"/>
      <c r="I84" s="59"/>
      <c r="J84" s="60"/>
      <c r="K84" s="61" t="s">
        <v>414</v>
      </c>
      <c r="L84" s="335" t="s">
        <v>415</v>
      </c>
      <c r="M84" s="264"/>
      <c r="N84" s="62" t="s">
        <v>301</v>
      </c>
      <c r="O84" s="280"/>
      <c r="P84" s="264"/>
      <c r="Q84" s="56"/>
      <c r="R84" s="57"/>
      <c r="S84" s="63" t="s">
        <v>341</v>
      </c>
      <c r="T84" s="64" t="s">
        <v>416</v>
      </c>
      <c r="U84" s="65" t="s">
        <v>417</v>
      </c>
      <c r="V84" s="66"/>
      <c r="W84" s="263"/>
      <c r="X84" s="264"/>
      <c r="Y84" s="67"/>
      <c r="Z84" s="35"/>
      <c r="AA84" s="68">
        <v>3</v>
      </c>
      <c r="AB84" s="310" t="s">
        <v>303</v>
      </c>
      <c r="AC84" s="243"/>
      <c r="AD84" s="340" t="s">
        <v>304</v>
      </c>
      <c r="AE84" s="242"/>
      <c r="AF84" s="242"/>
      <c r="AG84" s="242"/>
      <c r="AH84" s="242"/>
      <c r="AI84" s="242"/>
      <c r="AJ84" s="242"/>
      <c r="AK84" s="243"/>
      <c r="AL84" s="310" t="s">
        <v>357</v>
      </c>
      <c r="AM84" s="242"/>
      <c r="AN84" s="243"/>
      <c r="AO84" s="340" t="s">
        <v>421</v>
      </c>
      <c r="AP84" s="242"/>
      <c r="AQ84" s="242"/>
      <c r="AR84" s="242"/>
      <c r="AS84" s="242"/>
      <c r="AT84" s="242"/>
      <c r="AU84" s="242"/>
      <c r="AV84" s="242"/>
      <c r="AW84" s="242"/>
      <c r="AX84" s="385"/>
      <c r="AY84" s="35"/>
      <c r="AZ84" s="35"/>
      <c r="BA84" s="35"/>
      <c r="BB84" s="35"/>
    </row>
    <row r="85" spans="1:54" ht="15" customHeight="1" x14ac:dyDescent="0.25">
      <c r="A85" s="323"/>
      <c r="B85" s="54" t="s">
        <v>305</v>
      </c>
      <c r="C85" s="55">
        <v>4</v>
      </c>
      <c r="D85" s="280" t="s">
        <v>414</v>
      </c>
      <c r="E85" s="264"/>
      <c r="F85" s="56" t="s">
        <v>339</v>
      </c>
      <c r="G85" s="57" t="s">
        <v>301</v>
      </c>
      <c r="H85" s="58"/>
      <c r="I85" s="59"/>
      <c r="J85" s="60"/>
      <c r="K85" s="61" t="s">
        <v>422</v>
      </c>
      <c r="L85" s="335" t="s">
        <v>415</v>
      </c>
      <c r="M85" s="264"/>
      <c r="N85" s="62" t="s">
        <v>301</v>
      </c>
      <c r="O85" s="280"/>
      <c r="P85" s="264"/>
      <c r="Q85" s="56"/>
      <c r="R85" s="57"/>
      <c r="S85" s="63" t="s">
        <v>299</v>
      </c>
      <c r="T85" s="64" t="s">
        <v>423</v>
      </c>
      <c r="U85" s="65" t="s">
        <v>417</v>
      </c>
      <c r="V85" s="66"/>
      <c r="W85" s="263"/>
      <c r="X85" s="264"/>
      <c r="Y85" s="67"/>
      <c r="Z85" s="35"/>
      <c r="AA85" s="68">
        <v>4</v>
      </c>
      <c r="AB85" s="310" t="s">
        <v>424</v>
      </c>
      <c r="AC85" s="243"/>
      <c r="AD85" s="340" t="s">
        <v>425</v>
      </c>
      <c r="AE85" s="242"/>
      <c r="AF85" s="242"/>
      <c r="AG85" s="242"/>
      <c r="AH85" s="242"/>
      <c r="AI85" s="242"/>
      <c r="AJ85" s="242"/>
      <c r="AK85" s="243"/>
      <c r="AL85" s="310" t="s">
        <v>335</v>
      </c>
      <c r="AM85" s="242"/>
      <c r="AN85" s="243"/>
      <c r="AO85" s="340" t="s">
        <v>426</v>
      </c>
      <c r="AP85" s="242"/>
      <c r="AQ85" s="242"/>
      <c r="AR85" s="242"/>
      <c r="AS85" s="242"/>
      <c r="AT85" s="242"/>
      <c r="AU85" s="242"/>
      <c r="AV85" s="242"/>
      <c r="AW85" s="242"/>
      <c r="AX85" s="385"/>
      <c r="AY85" s="35"/>
      <c r="AZ85" s="35"/>
      <c r="BA85" s="35"/>
      <c r="BB85" s="35"/>
    </row>
    <row r="86" spans="1:54" ht="15" customHeight="1" x14ac:dyDescent="0.25">
      <c r="A86" s="323"/>
      <c r="B86" s="74" t="s">
        <v>308</v>
      </c>
      <c r="C86" s="75"/>
      <c r="D86" s="265"/>
      <c r="E86" s="266"/>
      <c r="F86" s="266"/>
      <c r="G86" s="283"/>
      <c r="H86" s="332" t="s">
        <v>309</v>
      </c>
      <c r="I86" s="266"/>
      <c r="J86" s="333"/>
      <c r="K86" s="339"/>
      <c r="L86" s="266"/>
      <c r="M86" s="266"/>
      <c r="N86" s="267"/>
      <c r="O86" s="265"/>
      <c r="P86" s="266"/>
      <c r="Q86" s="266"/>
      <c r="R86" s="283"/>
      <c r="S86" s="265" t="s">
        <v>309</v>
      </c>
      <c r="T86" s="266"/>
      <c r="U86" s="267"/>
      <c r="V86" s="268"/>
      <c r="W86" s="266"/>
      <c r="X86" s="266"/>
      <c r="Y86" s="267"/>
      <c r="Z86" s="35"/>
      <c r="AA86" s="68">
        <v>5</v>
      </c>
      <c r="AB86" s="310" t="s">
        <v>423</v>
      </c>
      <c r="AC86" s="243"/>
      <c r="AD86" s="340" t="s">
        <v>427</v>
      </c>
      <c r="AE86" s="242"/>
      <c r="AF86" s="242"/>
      <c r="AG86" s="242"/>
      <c r="AH86" s="242"/>
      <c r="AI86" s="242"/>
      <c r="AJ86" s="242"/>
      <c r="AK86" s="243"/>
      <c r="AL86" s="310" t="s">
        <v>299</v>
      </c>
      <c r="AM86" s="242"/>
      <c r="AN86" s="243"/>
      <c r="AO86" s="340" t="s">
        <v>428</v>
      </c>
      <c r="AP86" s="242"/>
      <c r="AQ86" s="242"/>
      <c r="AR86" s="242"/>
      <c r="AS86" s="242"/>
      <c r="AT86" s="242"/>
      <c r="AU86" s="242"/>
      <c r="AV86" s="242"/>
      <c r="AW86" s="242"/>
      <c r="AX86" s="385"/>
      <c r="AY86" s="35"/>
      <c r="AZ86" s="35"/>
      <c r="BA86" s="35"/>
      <c r="BB86" s="35"/>
    </row>
    <row r="87" spans="1:54" ht="15" customHeight="1" x14ac:dyDescent="0.25">
      <c r="A87" s="323"/>
      <c r="B87" s="76" t="s">
        <v>311</v>
      </c>
      <c r="C87" s="55">
        <v>5</v>
      </c>
      <c r="D87" s="280" t="s">
        <v>414</v>
      </c>
      <c r="E87" s="264"/>
      <c r="F87" s="56" t="s">
        <v>339</v>
      </c>
      <c r="G87" s="57" t="s">
        <v>301</v>
      </c>
      <c r="H87" s="58"/>
      <c r="I87" s="59"/>
      <c r="J87" s="60"/>
      <c r="K87" s="61" t="s">
        <v>422</v>
      </c>
      <c r="L87" s="335" t="s">
        <v>415</v>
      </c>
      <c r="M87" s="264"/>
      <c r="N87" s="62" t="s">
        <v>301</v>
      </c>
      <c r="O87" s="280"/>
      <c r="P87" s="264"/>
      <c r="Q87" s="56"/>
      <c r="R87" s="57"/>
      <c r="S87" s="63" t="s">
        <v>299</v>
      </c>
      <c r="T87" s="64" t="s">
        <v>423</v>
      </c>
      <c r="U87" s="65" t="s">
        <v>417</v>
      </c>
      <c r="V87" s="66"/>
      <c r="W87" s="263"/>
      <c r="X87" s="264"/>
      <c r="Y87" s="67"/>
      <c r="Z87" s="35"/>
      <c r="AA87" s="68">
        <v>6</v>
      </c>
      <c r="AB87" s="310" t="s">
        <v>429</v>
      </c>
      <c r="AC87" s="243"/>
      <c r="AD87" s="340" t="s">
        <v>430</v>
      </c>
      <c r="AE87" s="242"/>
      <c r="AF87" s="242"/>
      <c r="AG87" s="242"/>
      <c r="AH87" s="242"/>
      <c r="AI87" s="242"/>
      <c r="AJ87" s="242"/>
      <c r="AK87" s="243"/>
      <c r="AL87" s="310" t="s">
        <v>148</v>
      </c>
      <c r="AM87" s="242"/>
      <c r="AN87" s="243"/>
      <c r="AO87" s="340" t="s">
        <v>431</v>
      </c>
      <c r="AP87" s="242"/>
      <c r="AQ87" s="242"/>
      <c r="AR87" s="242"/>
      <c r="AS87" s="242"/>
      <c r="AT87" s="242"/>
      <c r="AU87" s="242"/>
      <c r="AV87" s="242"/>
      <c r="AW87" s="242"/>
      <c r="AX87" s="385"/>
      <c r="AY87" s="35"/>
      <c r="AZ87" s="35"/>
      <c r="BA87" s="35"/>
      <c r="BB87" s="35"/>
    </row>
    <row r="88" spans="1:54" ht="15" customHeight="1" x14ac:dyDescent="0.25">
      <c r="A88" s="323"/>
      <c r="B88" s="76" t="s">
        <v>314</v>
      </c>
      <c r="C88" s="55">
        <v>6</v>
      </c>
      <c r="D88" s="280" t="s">
        <v>414</v>
      </c>
      <c r="E88" s="264"/>
      <c r="F88" s="56" t="s">
        <v>339</v>
      </c>
      <c r="G88" s="57" t="s">
        <v>301</v>
      </c>
      <c r="H88" s="58"/>
      <c r="I88" s="59"/>
      <c r="J88" s="60"/>
      <c r="K88" s="61" t="s">
        <v>422</v>
      </c>
      <c r="L88" s="335" t="s">
        <v>415</v>
      </c>
      <c r="M88" s="264"/>
      <c r="N88" s="62" t="s">
        <v>301</v>
      </c>
      <c r="O88" s="280"/>
      <c r="P88" s="264"/>
      <c r="Q88" s="56"/>
      <c r="R88" s="57"/>
      <c r="S88" s="63" t="s">
        <v>148</v>
      </c>
      <c r="T88" s="56" t="s">
        <v>429</v>
      </c>
      <c r="U88" s="77" t="s">
        <v>417</v>
      </c>
      <c r="V88" s="66"/>
      <c r="W88" s="263"/>
      <c r="X88" s="264"/>
      <c r="Y88" s="67"/>
      <c r="Z88" s="35"/>
      <c r="AA88" s="68">
        <v>7</v>
      </c>
      <c r="AB88" s="310" t="s">
        <v>416</v>
      </c>
      <c r="AC88" s="243"/>
      <c r="AD88" s="340" t="s">
        <v>432</v>
      </c>
      <c r="AE88" s="242"/>
      <c r="AF88" s="242"/>
      <c r="AG88" s="242"/>
      <c r="AH88" s="242"/>
      <c r="AI88" s="242"/>
      <c r="AJ88" s="242"/>
      <c r="AK88" s="243"/>
      <c r="AL88" s="310" t="s">
        <v>341</v>
      </c>
      <c r="AM88" s="242"/>
      <c r="AN88" s="243"/>
      <c r="AO88" s="340" t="s">
        <v>433</v>
      </c>
      <c r="AP88" s="242"/>
      <c r="AQ88" s="242"/>
      <c r="AR88" s="242"/>
      <c r="AS88" s="242"/>
      <c r="AT88" s="242"/>
      <c r="AU88" s="242"/>
      <c r="AV88" s="242"/>
      <c r="AW88" s="242"/>
      <c r="AX88" s="385"/>
      <c r="AY88" s="35"/>
      <c r="AZ88" s="35"/>
      <c r="BA88" s="35"/>
      <c r="BB88" s="35"/>
    </row>
    <row r="89" spans="1:54" ht="15" customHeight="1" x14ac:dyDescent="0.25">
      <c r="A89" s="323"/>
      <c r="B89" s="76" t="s">
        <v>321</v>
      </c>
      <c r="C89" s="55">
        <v>7</v>
      </c>
      <c r="D89" s="280" t="s">
        <v>414</v>
      </c>
      <c r="E89" s="264"/>
      <c r="F89" s="56" t="s">
        <v>339</v>
      </c>
      <c r="G89" s="57" t="s">
        <v>301</v>
      </c>
      <c r="H89" s="58"/>
      <c r="I89" s="59"/>
      <c r="J89" s="60"/>
      <c r="K89" s="61" t="s">
        <v>422</v>
      </c>
      <c r="L89" s="335" t="s">
        <v>415</v>
      </c>
      <c r="M89" s="264"/>
      <c r="N89" s="62" t="s">
        <v>301</v>
      </c>
      <c r="O89" s="280"/>
      <c r="P89" s="264"/>
      <c r="Q89" s="56"/>
      <c r="R89" s="57"/>
      <c r="S89" s="63" t="s">
        <v>148</v>
      </c>
      <c r="T89" s="56" t="s">
        <v>429</v>
      </c>
      <c r="U89" s="77" t="s">
        <v>417</v>
      </c>
      <c r="V89" s="66"/>
      <c r="W89" s="263"/>
      <c r="X89" s="264"/>
      <c r="Y89" s="67"/>
      <c r="Z89" s="35"/>
      <c r="AA89" s="68">
        <v>8</v>
      </c>
      <c r="AB89" s="310" t="s">
        <v>306</v>
      </c>
      <c r="AC89" s="243"/>
      <c r="AD89" s="340" t="s">
        <v>307</v>
      </c>
      <c r="AE89" s="242"/>
      <c r="AF89" s="242"/>
      <c r="AG89" s="242"/>
      <c r="AH89" s="242"/>
      <c r="AI89" s="242"/>
      <c r="AJ89" s="242"/>
      <c r="AK89" s="243"/>
      <c r="AL89" s="310" t="s">
        <v>383</v>
      </c>
      <c r="AM89" s="242"/>
      <c r="AN89" s="243"/>
      <c r="AO89" s="340" t="s">
        <v>434</v>
      </c>
      <c r="AP89" s="242"/>
      <c r="AQ89" s="242"/>
      <c r="AR89" s="242"/>
      <c r="AS89" s="242"/>
      <c r="AT89" s="242"/>
      <c r="AU89" s="242"/>
      <c r="AV89" s="242"/>
      <c r="AW89" s="242"/>
      <c r="AX89" s="385"/>
      <c r="AY89" s="35"/>
      <c r="AZ89" s="35"/>
      <c r="BA89" s="35"/>
      <c r="BB89" s="35"/>
    </row>
    <row r="90" spans="1:54" ht="15" customHeight="1" x14ac:dyDescent="0.25">
      <c r="A90" s="323"/>
      <c r="B90" s="78" t="s">
        <v>324</v>
      </c>
      <c r="C90" s="75"/>
      <c r="D90" s="265"/>
      <c r="E90" s="266"/>
      <c r="F90" s="266"/>
      <c r="G90" s="283"/>
      <c r="H90" s="332" t="s">
        <v>325</v>
      </c>
      <c r="I90" s="266"/>
      <c r="J90" s="333"/>
      <c r="K90" s="339"/>
      <c r="L90" s="266"/>
      <c r="M90" s="266"/>
      <c r="N90" s="267"/>
      <c r="O90" s="265"/>
      <c r="P90" s="266"/>
      <c r="Q90" s="266"/>
      <c r="R90" s="283"/>
      <c r="S90" s="265" t="s">
        <v>325</v>
      </c>
      <c r="T90" s="266"/>
      <c r="U90" s="267"/>
      <c r="V90" s="268"/>
      <c r="W90" s="266"/>
      <c r="X90" s="266"/>
      <c r="Y90" s="267"/>
      <c r="Z90" s="35"/>
      <c r="AA90" s="79">
        <v>9</v>
      </c>
      <c r="AB90" s="311" t="s">
        <v>435</v>
      </c>
      <c r="AC90" s="312"/>
      <c r="AD90" s="404" t="s">
        <v>436</v>
      </c>
      <c r="AE90" s="354"/>
      <c r="AF90" s="354"/>
      <c r="AG90" s="354"/>
      <c r="AH90" s="354"/>
      <c r="AI90" s="354"/>
      <c r="AJ90" s="354"/>
      <c r="AK90" s="312"/>
      <c r="AL90" s="350" t="s">
        <v>353</v>
      </c>
      <c r="AM90" s="351"/>
      <c r="AN90" s="352"/>
      <c r="AO90" s="386" t="s">
        <v>437</v>
      </c>
      <c r="AP90" s="351"/>
      <c r="AQ90" s="351"/>
      <c r="AR90" s="351"/>
      <c r="AS90" s="351"/>
      <c r="AT90" s="351"/>
      <c r="AU90" s="351"/>
      <c r="AV90" s="351"/>
      <c r="AW90" s="351"/>
      <c r="AX90" s="368"/>
      <c r="AY90" s="35"/>
      <c r="AZ90" s="35"/>
      <c r="BA90" s="35"/>
      <c r="BB90" s="35"/>
    </row>
    <row r="91" spans="1:54" ht="15" customHeight="1" x14ac:dyDescent="0.25">
      <c r="A91" s="323"/>
      <c r="B91" s="76" t="s">
        <v>328</v>
      </c>
      <c r="C91" s="55">
        <v>8</v>
      </c>
      <c r="D91" s="280" t="s">
        <v>414</v>
      </c>
      <c r="E91" s="264"/>
      <c r="F91" s="56" t="s">
        <v>339</v>
      </c>
      <c r="G91" s="57" t="s">
        <v>301</v>
      </c>
      <c r="H91" s="58"/>
      <c r="I91" s="59"/>
      <c r="J91" s="60"/>
      <c r="K91" s="61" t="s">
        <v>422</v>
      </c>
      <c r="L91" s="335" t="s">
        <v>415</v>
      </c>
      <c r="M91" s="264"/>
      <c r="N91" s="62" t="s">
        <v>301</v>
      </c>
      <c r="O91" s="280"/>
      <c r="P91" s="264"/>
      <c r="Q91" s="56"/>
      <c r="R91" s="57"/>
      <c r="S91" s="63" t="s">
        <v>438</v>
      </c>
      <c r="T91" s="64" t="s">
        <v>318</v>
      </c>
      <c r="U91" s="62" t="s">
        <v>417</v>
      </c>
      <c r="V91" s="66"/>
      <c r="W91" s="263"/>
      <c r="X91" s="264"/>
      <c r="Y91" s="67"/>
      <c r="Z91" s="35"/>
      <c r="AA91" s="53"/>
      <c r="AB91" s="313"/>
      <c r="AC91" s="314"/>
      <c r="AD91" s="387"/>
      <c r="AE91" s="388"/>
      <c r="AF91" s="388"/>
      <c r="AG91" s="388"/>
      <c r="AH91" s="388"/>
      <c r="AI91" s="388"/>
      <c r="AJ91" s="388"/>
      <c r="AK91" s="314"/>
      <c r="AL91" s="355" t="s">
        <v>439</v>
      </c>
      <c r="AM91" s="356"/>
      <c r="AN91" s="357"/>
      <c r="AO91" s="399" t="s">
        <v>440</v>
      </c>
      <c r="AP91" s="356"/>
      <c r="AQ91" s="356"/>
      <c r="AR91" s="356"/>
      <c r="AS91" s="356"/>
      <c r="AT91" s="356"/>
      <c r="AU91" s="356"/>
      <c r="AV91" s="356"/>
      <c r="AW91" s="356"/>
      <c r="AX91" s="400"/>
      <c r="AY91" s="35"/>
      <c r="AZ91" s="35"/>
      <c r="BA91" s="35"/>
      <c r="BB91" s="35"/>
    </row>
    <row r="92" spans="1:54" ht="15" customHeight="1" x14ac:dyDescent="0.25">
      <c r="A92" s="324"/>
      <c r="B92" s="76" t="s">
        <v>331</v>
      </c>
      <c r="C92" s="55">
        <v>9</v>
      </c>
      <c r="D92" s="287" t="s">
        <v>414</v>
      </c>
      <c r="E92" s="260"/>
      <c r="F92" s="80" t="s">
        <v>339</v>
      </c>
      <c r="G92" s="81" t="s">
        <v>301</v>
      </c>
      <c r="H92" s="145"/>
      <c r="I92" s="167"/>
      <c r="J92" s="83"/>
      <c r="K92" s="61" t="s">
        <v>422</v>
      </c>
      <c r="L92" s="335" t="s">
        <v>415</v>
      </c>
      <c r="M92" s="264"/>
      <c r="N92" s="62" t="s">
        <v>301</v>
      </c>
      <c r="O92" s="287"/>
      <c r="P92" s="260"/>
      <c r="Q92" s="80"/>
      <c r="R92" s="81"/>
      <c r="S92" s="128" t="s">
        <v>438</v>
      </c>
      <c r="T92" s="129" t="s">
        <v>318</v>
      </c>
      <c r="U92" s="85" t="s">
        <v>417</v>
      </c>
      <c r="V92" s="89"/>
      <c r="W92" s="259"/>
      <c r="X92" s="260"/>
      <c r="Y92" s="90"/>
      <c r="Z92" s="35"/>
      <c r="AA92" s="68">
        <v>11</v>
      </c>
      <c r="AB92" s="310" t="s">
        <v>330</v>
      </c>
      <c r="AC92" s="243"/>
      <c r="AD92" s="340" t="s">
        <v>336</v>
      </c>
      <c r="AE92" s="242"/>
      <c r="AF92" s="242"/>
      <c r="AG92" s="242"/>
      <c r="AH92" s="242"/>
      <c r="AI92" s="242"/>
      <c r="AJ92" s="242"/>
      <c r="AK92" s="243"/>
      <c r="AL92" s="310" t="s">
        <v>329</v>
      </c>
      <c r="AM92" s="242"/>
      <c r="AN92" s="243"/>
      <c r="AO92" s="340" t="s">
        <v>441</v>
      </c>
      <c r="AP92" s="242"/>
      <c r="AQ92" s="242"/>
      <c r="AR92" s="242"/>
      <c r="AS92" s="242"/>
      <c r="AT92" s="242"/>
      <c r="AU92" s="242"/>
      <c r="AV92" s="242"/>
      <c r="AW92" s="242"/>
      <c r="AX92" s="385"/>
      <c r="AY92" s="35"/>
      <c r="AZ92" s="35"/>
      <c r="BA92" s="35"/>
      <c r="BB92" s="35"/>
    </row>
    <row r="93" spans="1:54" ht="15" customHeight="1" x14ac:dyDescent="0.25">
      <c r="A93" s="322" t="s">
        <v>334</v>
      </c>
      <c r="B93" s="91" t="s">
        <v>291</v>
      </c>
      <c r="C93" s="92">
        <v>1</v>
      </c>
      <c r="D93" s="288"/>
      <c r="E93" s="270"/>
      <c r="F93" s="99"/>
      <c r="G93" s="147"/>
      <c r="H93" s="168" t="s">
        <v>391</v>
      </c>
      <c r="I93" s="169" t="s">
        <v>344</v>
      </c>
      <c r="J93" s="146" t="s">
        <v>417</v>
      </c>
      <c r="K93" s="170"/>
      <c r="L93" s="338"/>
      <c r="M93" s="270"/>
      <c r="N93" s="171"/>
      <c r="O93" s="288"/>
      <c r="P93" s="270"/>
      <c r="Q93" s="99"/>
      <c r="R93" s="147"/>
      <c r="S93" s="98" t="s">
        <v>335</v>
      </c>
      <c r="T93" s="99" t="s">
        <v>424</v>
      </c>
      <c r="U93" s="100" t="s">
        <v>417</v>
      </c>
      <c r="V93" s="101"/>
      <c r="W93" s="261"/>
      <c r="X93" s="262"/>
      <c r="Y93" s="102"/>
      <c r="Z93" s="35"/>
      <c r="AA93" s="68">
        <v>12</v>
      </c>
      <c r="AB93" s="310" t="s">
        <v>318</v>
      </c>
      <c r="AC93" s="243"/>
      <c r="AD93" s="340" t="s">
        <v>442</v>
      </c>
      <c r="AE93" s="242"/>
      <c r="AF93" s="242"/>
      <c r="AG93" s="242"/>
      <c r="AH93" s="242"/>
      <c r="AI93" s="242"/>
      <c r="AJ93" s="242"/>
      <c r="AK93" s="243"/>
      <c r="AL93" s="310" t="s">
        <v>438</v>
      </c>
      <c r="AM93" s="242"/>
      <c r="AN93" s="243"/>
      <c r="AO93" s="340" t="s">
        <v>443</v>
      </c>
      <c r="AP93" s="242"/>
      <c r="AQ93" s="242"/>
      <c r="AR93" s="242"/>
      <c r="AS93" s="242"/>
      <c r="AT93" s="242"/>
      <c r="AU93" s="242"/>
      <c r="AV93" s="242"/>
      <c r="AW93" s="242"/>
      <c r="AX93" s="385"/>
      <c r="AY93" s="35"/>
      <c r="AZ93" s="35"/>
      <c r="BA93" s="35"/>
      <c r="BB93" s="35"/>
    </row>
    <row r="94" spans="1:54" ht="15" customHeight="1" x14ac:dyDescent="0.25">
      <c r="A94" s="323"/>
      <c r="B94" s="54" t="s">
        <v>295</v>
      </c>
      <c r="C94" s="55">
        <v>2</v>
      </c>
      <c r="D94" s="280"/>
      <c r="E94" s="264"/>
      <c r="F94" s="56"/>
      <c r="G94" s="57"/>
      <c r="H94" s="69" t="s">
        <v>391</v>
      </c>
      <c r="I94" s="70" t="s">
        <v>344</v>
      </c>
      <c r="J94" s="71" t="s">
        <v>417</v>
      </c>
      <c r="K94" s="61"/>
      <c r="L94" s="335"/>
      <c r="M94" s="264"/>
      <c r="N94" s="62"/>
      <c r="O94" s="280"/>
      <c r="P94" s="264"/>
      <c r="Q94" s="56"/>
      <c r="R94" s="57"/>
      <c r="S94" s="63" t="s">
        <v>335</v>
      </c>
      <c r="T94" s="56" t="s">
        <v>424</v>
      </c>
      <c r="U94" s="77" t="s">
        <v>417</v>
      </c>
      <c r="V94" s="101"/>
      <c r="W94" s="261"/>
      <c r="X94" s="262"/>
      <c r="Y94" s="102"/>
      <c r="Z94" s="35"/>
      <c r="AA94" s="68">
        <v>13</v>
      </c>
      <c r="AB94" s="310" t="s">
        <v>332</v>
      </c>
      <c r="AC94" s="243"/>
      <c r="AD94" s="340" t="s">
        <v>333</v>
      </c>
      <c r="AE94" s="242"/>
      <c r="AF94" s="242"/>
      <c r="AG94" s="242"/>
      <c r="AH94" s="242"/>
      <c r="AI94" s="242"/>
      <c r="AJ94" s="242"/>
      <c r="AK94" s="243"/>
      <c r="AL94" s="310" t="s">
        <v>444</v>
      </c>
      <c r="AM94" s="242"/>
      <c r="AN94" s="243"/>
      <c r="AO94" s="340" t="s">
        <v>445</v>
      </c>
      <c r="AP94" s="242"/>
      <c r="AQ94" s="242"/>
      <c r="AR94" s="242"/>
      <c r="AS94" s="242"/>
      <c r="AT94" s="242"/>
      <c r="AU94" s="242"/>
      <c r="AV94" s="242"/>
      <c r="AW94" s="242"/>
      <c r="AX94" s="385"/>
      <c r="AY94" s="35"/>
      <c r="AZ94" s="35"/>
      <c r="BA94" s="35"/>
      <c r="BB94" s="35"/>
    </row>
    <row r="95" spans="1:54" ht="15" customHeight="1" x14ac:dyDescent="0.25">
      <c r="A95" s="323"/>
      <c r="B95" s="54" t="s">
        <v>302</v>
      </c>
      <c r="C95" s="55">
        <v>3</v>
      </c>
      <c r="D95" s="280"/>
      <c r="E95" s="264"/>
      <c r="F95" s="56"/>
      <c r="G95" s="57"/>
      <c r="H95" s="69" t="s">
        <v>391</v>
      </c>
      <c r="I95" s="70" t="s">
        <v>344</v>
      </c>
      <c r="J95" s="71" t="s">
        <v>417</v>
      </c>
      <c r="K95" s="61"/>
      <c r="L95" s="335"/>
      <c r="M95" s="264"/>
      <c r="N95" s="62"/>
      <c r="O95" s="405"/>
      <c r="P95" s="264"/>
      <c r="Q95" s="70"/>
      <c r="R95" s="57"/>
      <c r="S95" s="63" t="s">
        <v>329</v>
      </c>
      <c r="T95" s="64" t="s">
        <v>330</v>
      </c>
      <c r="U95" s="77" t="s">
        <v>417</v>
      </c>
      <c r="V95" s="66"/>
      <c r="W95" s="263"/>
      <c r="X95" s="264"/>
      <c r="Y95" s="67"/>
      <c r="Z95" s="35"/>
      <c r="AA95" s="68">
        <v>14</v>
      </c>
      <c r="AB95" s="310" t="s">
        <v>342</v>
      </c>
      <c r="AC95" s="243"/>
      <c r="AD95" s="340" t="s">
        <v>343</v>
      </c>
      <c r="AE95" s="242"/>
      <c r="AF95" s="242"/>
      <c r="AG95" s="242"/>
      <c r="AH95" s="242"/>
      <c r="AI95" s="242"/>
      <c r="AJ95" s="242"/>
      <c r="AK95" s="243"/>
      <c r="AL95" s="310" t="s">
        <v>404</v>
      </c>
      <c r="AM95" s="242"/>
      <c r="AN95" s="243"/>
      <c r="AO95" s="340" t="s">
        <v>446</v>
      </c>
      <c r="AP95" s="242"/>
      <c r="AQ95" s="242"/>
      <c r="AR95" s="242"/>
      <c r="AS95" s="242"/>
      <c r="AT95" s="242"/>
      <c r="AU95" s="242"/>
      <c r="AV95" s="242"/>
      <c r="AW95" s="242"/>
      <c r="AX95" s="385"/>
      <c r="AY95" s="35"/>
      <c r="AZ95" s="35"/>
      <c r="BA95" s="35"/>
      <c r="BB95" s="35"/>
    </row>
    <row r="96" spans="1:54" ht="15" customHeight="1" x14ac:dyDescent="0.25">
      <c r="A96" s="323"/>
      <c r="B96" s="54" t="s">
        <v>305</v>
      </c>
      <c r="C96" s="55">
        <v>4</v>
      </c>
      <c r="D96" s="280"/>
      <c r="E96" s="264"/>
      <c r="F96" s="56"/>
      <c r="G96" s="57"/>
      <c r="H96" s="72" t="s">
        <v>391</v>
      </c>
      <c r="I96" s="56" t="s">
        <v>344</v>
      </c>
      <c r="J96" s="73" t="s">
        <v>417</v>
      </c>
      <c r="K96" s="61"/>
      <c r="L96" s="335"/>
      <c r="M96" s="264"/>
      <c r="N96" s="62"/>
      <c r="O96" s="280"/>
      <c r="P96" s="264"/>
      <c r="Q96" s="56"/>
      <c r="R96" s="57"/>
      <c r="S96" s="63" t="s">
        <v>329</v>
      </c>
      <c r="T96" s="64" t="s">
        <v>330</v>
      </c>
      <c r="U96" s="62" t="s">
        <v>417</v>
      </c>
      <c r="V96" s="66"/>
      <c r="W96" s="263"/>
      <c r="X96" s="264"/>
      <c r="Y96" s="67"/>
      <c r="Z96" s="35"/>
      <c r="AA96" s="68">
        <v>15</v>
      </c>
      <c r="AB96" s="310" t="s">
        <v>344</v>
      </c>
      <c r="AC96" s="243"/>
      <c r="AD96" s="103" t="s">
        <v>345</v>
      </c>
      <c r="AE96" s="104"/>
      <c r="AF96" s="104"/>
      <c r="AG96" s="104"/>
      <c r="AH96" s="104"/>
      <c r="AI96" s="104"/>
      <c r="AJ96" s="104"/>
      <c r="AK96" s="105"/>
      <c r="AL96" s="310" t="s">
        <v>391</v>
      </c>
      <c r="AM96" s="242"/>
      <c r="AN96" s="243"/>
      <c r="AO96" s="103" t="s">
        <v>447</v>
      </c>
      <c r="AP96" s="104"/>
      <c r="AQ96" s="104"/>
      <c r="AR96" s="104"/>
      <c r="AS96" s="104"/>
      <c r="AT96" s="104"/>
      <c r="AU96" s="104"/>
      <c r="AV96" s="104"/>
      <c r="AW96" s="104"/>
      <c r="AX96" s="106"/>
      <c r="AY96" s="35"/>
      <c r="AZ96" s="35"/>
      <c r="BA96" s="35"/>
      <c r="BB96" s="35"/>
    </row>
    <row r="97" spans="1:54" ht="15" customHeight="1" x14ac:dyDescent="0.25">
      <c r="A97" s="323"/>
      <c r="B97" s="74" t="s">
        <v>308</v>
      </c>
      <c r="C97" s="75"/>
      <c r="D97" s="265"/>
      <c r="E97" s="266"/>
      <c r="F97" s="266"/>
      <c r="G97" s="283"/>
      <c r="H97" s="332" t="s">
        <v>309</v>
      </c>
      <c r="I97" s="266"/>
      <c r="J97" s="333"/>
      <c r="K97" s="339"/>
      <c r="L97" s="266"/>
      <c r="M97" s="266"/>
      <c r="N97" s="267"/>
      <c r="O97" s="265"/>
      <c r="P97" s="266"/>
      <c r="Q97" s="266"/>
      <c r="R97" s="283"/>
      <c r="S97" s="265" t="s">
        <v>309</v>
      </c>
      <c r="T97" s="266"/>
      <c r="U97" s="267"/>
      <c r="V97" s="268"/>
      <c r="W97" s="266"/>
      <c r="X97" s="266"/>
      <c r="Y97" s="267"/>
      <c r="Z97" s="35"/>
      <c r="AA97" s="68">
        <v>16</v>
      </c>
      <c r="AB97" s="310" t="s">
        <v>340</v>
      </c>
      <c r="AC97" s="243"/>
      <c r="AD97" s="103" t="s">
        <v>348</v>
      </c>
      <c r="AE97" s="104"/>
      <c r="AF97" s="104"/>
      <c r="AG97" s="104"/>
      <c r="AH97" s="104"/>
      <c r="AI97" s="104"/>
      <c r="AJ97" s="104"/>
      <c r="AK97" s="105"/>
      <c r="AL97" s="310" t="s">
        <v>414</v>
      </c>
      <c r="AM97" s="242"/>
      <c r="AN97" s="243"/>
      <c r="AO97" s="114" t="s">
        <v>448</v>
      </c>
      <c r="AP97" s="115"/>
      <c r="AQ97" s="115"/>
      <c r="AR97" s="115"/>
      <c r="AS97" s="115"/>
      <c r="AT97" s="115"/>
      <c r="AU97" s="115"/>
      <c r="AV97" s="115"/>
      <c r="AW97" s="115"/>
      <c r="AX97" s="116"/>
      <c r="AY97" s="35"/>
      <c r="AZ97" s="35"/>
      <c r="BA97" s="35"/>
      <c r="BB97" s="35"/>
    </row>
    <row r="98" spans="1:54" ht="15" customHeight="1" x14ac:dyDescent="0.25">
      <c r="A98" s="323"/>
      <c r="B98" s="76" t="s">
        <v>311</v>
      </c>
      <c r="C98" s="55">
        <v>5</v>
      </c>
      <c r="D98" s="280" t="s">
        <v>414</v>
      </c>
      <c r="E98" s="264"/>
      <c r="F98" s="56" t="s">
        <v>339</v>
      </c>
      <c r="G98" s="57" t="s">
        <v>301</v>
      </c>
      <c r="H98" s="69"/>
      <c r="I98" s="70"/>
      <c r="J98" s="71"/>
      <c r="K98" s="61" t="s">
        <v>449</v>
      </c>
      <c r="L98" s="335" t="s">
        <v>316</v>
      </c>
      <c r="M98" s="264"/>
      <c r="N98" s="62" t="s">
        <v>301</v>
      </c>
      <c r="O98" s="280"/>
      <c r="P98" s="264"/>
      <c r="Q98" s="56"/>
      <c r="R98" s="57"/>
      <c r="S98" s="63" t="s">
        <v>329</v>
      </c>
      <c r="T98" s="64" t="s">
        <v>330</v>
      </c>
      <c r="U98" s="65" t="s">
        <v>417</v>
      </c>
      <c r="V98" s="66"/>
      <c r="W98" s="263"/>
      <c r="X98" s="264"/>
      <c r="Y98" s="67"/>
      <c r="Z98" s="35"/>
      <c r="AA98" s="79">
        <v>17</v>
      </c>
      <c r="AB98" s="311" t="s">
        <v>415</v>
      </c>
      <c r="AC98" s="312"/>
      <c r="AD98" s="111" t="s">
        <v>450</v>
      </c>
      <c r="AE98" s="112"/>
      <c r="AF98" s="112"/>
      <c r="AG98" s="112"/>
      <c r="AH98" s="112"/>
      <c r="AI98" s="112"/>
      <c r="AJ98" s="112"/>
      <c r="AK98" s="113"/>
      <c r="AL98" s="350" t="s">
        <v>422</v>
      </c>
      <c r="AM98" s="351"/>
      <c r="AN98" s="352"/>
      <c r="AO98" s="172" t="s">
        <v>451</v>
      </c>
      <c r="AP98" s="173"/>
      <c r="AQ98" s="173"/>
      <c r="AR98" s="173"/>
      <c r="AS98" s="173"/>
      <c r="AT98" s="173"/>
      <c r="AU98" s="173"/>
      <c r="AV98" s="173"/>
      <c r="AW98" s="173"/>
      <c r="AX98" s="174"/>
      <c r="AY98" s="35"/>
      <c r="AZ98" s="35"/>
      <c r="BA98" s="35"/>
      <c r="BB98" s="35"/>
    </row>
    <row r="99" spans="1:54" ht="15" customHeight="1" x14ac:dyDescent="0.25">
      <c r="A99" s="323"/>
      <c r="B99" s="76" t="s">
        <v>314</v>
      </c>
      <c r="C99" s="55">
        <v>6</v>
      </c>
      <c r="D99" s="280" t="s">
        <v>414</v>
      </c>
      <c r="E99" s="264"/>
      <c r="F99" s="56" t="s">
        <v>339</v>
      </c>
      <c r="G99" s="57" t="s">
        <v>301</v>
      </c>
      <c r="H99" s="69"/>
      <c r="I99" s="70"/>
      <c r="J99" s="71"/>
      <c r="K99" s="61" t="s">
        <v>449</v>
      </c>
      <c r="L99" s="335" t="s">
        <v>316</v>
      </c>
      <c r="M99" s="264"/>
      <c r="N99" s="62" t="s">
        <v>301</v>
      </c>
      <c r="O99" s="280"/>
      <c r="P99" s="264"/>
      <c r="Q99" s="56"/>
      <c r="R99" s="57"/>
      <c r="S99" s="63" t="s">
        <v>383</v>
      </c>
      <c r="T99" s="64" t="s">
        <v>306</v>
      </c>
      <c r="U99" s="65" t="s">
        <v>417</v>
      </c>
      <c r="V99" s="66"/>
      <c r="W99" s="263"/>
      <c r="X99" s="264"/>
      <c r="Y99" s="67"/>
      <c r="Z99" s="35"/>
      <c r="AA99" s="53"/>
      <c r="AB99" s="175"/>
      <c r="AC99" s="176"/>
      <c r="AD99" s="107"/>
      <c r="AE99" s="108"/>
      <c r="AF99" s="108"/>
      <c r="AG99" s="108"/>
      <c r="AH99" s="108"/>
      <c r="AI99" s="108"/>
      <c r="AJ99" s="108"/>
      <c r="AK99" s="109"/>
      <c r="AL99" s="355" t="s">
        <v>414</v>
      </c>
      <c r="AM99" s="356"/>
      <c r="AN99" s="357"/>
      <c r="AO99" s="177" t="s">
        <v>448</v>
      </c>
      <c r="AP99" s="178"/>
      <c r="AQ99" s="178"/>
      <c r="AR99" s="178"/>
      <c r="AS99" s="178"/>
      <c r="AT99" s="178"/>
      <c r="AU99" s="178"/>
      <c r="AV99" s="178"/>
      <c r="AW99" s="178"/>
      <c r="AX99" s="179"/>
      <c r="AY99" s="35"/>
      <c r="AZ99" s="35"/>
      <c r="BA99" s="35"/>
      <c r="BB99" s="35"/>
    </row>
    <row r="100" spans="1:54" ht="15" customHeight="1" x14ac:dyDescent="0.25">
      <c r="A100" s="323"/>
      <c r="B100" s="76" t="s">
        <v>321</v>
      </c>
      <c r="C100" s="55">
        <v>7</v>
      </c>
      <c r="D100" s="280" t="s">
        <v>414</v>
      </c>
      <c r="E100" s="264"/>
      <c r="F100" s="56" t="s">
        <v>339</v>
      </c>
      <c r="G100" s="57" t="s">
        <v>301</v>
      </c>
      <c r="H100" s="69"/>
      <c r="I100" s="70"/>
      <c r="J100" s="71"/>
      <c r="K100" s="61" t="s">
        <v>449</v>
      </c>
      <c r="L100" s="335" t="s">
        <v>316</v>
      </c>
      <c r="M100" s="264"/>
      <c r="N100" s="62" t="s">
        <v>301</v>
      </c>
      <c r="O100" s="280"/>
      <c r="P100" s="264"/>
      <c r="Q100" s="56"/>
      <c r="R100" s="57"/>
      <c r="S100" s="63" t="s">
        <v>383</v>
      </c>
      <c r="T100" s="64" t="s">
        <v>306</v>
      </c>
      <c r="U100" s="65" t="s">
        <v>417</v>
      </c>
      <c r="V100" s="66"/>
      <c r="W100" s="263"/>
      <c r="X100" s="264"/>
      <c r="Y100" s="67"/>
      <c r="Z100" s="35"/>
      <c r="AA100" s="53">
        <v>18</v>
      </c>
      <c r="AB100" s="310" t="s">
        <v>452</v>
      </c>
      <c r="AC100" s="243"/>
      <c r="AD100" s="107" t="s">
        <v>453</v>
      </c>
      <c r="AE100" s="108"/>
      <c r="AF100" s="108"/>
      <c r="AG100" s="108"/>
      <c r="AH100" s="108"/>
      <c r="AI100" s="108"/>
      <c r="AJ100" s="108"/>
      <c r="AK100" s="109"/>
      <c r="AL100" s="310" t="s">
        <v>315</v>
      </c>
      <c r="AM100" s="242"/>
      <c r="AN100" s="243"/>
      <c r="AO100" s="107" t="s">
        <v>347</v>
      </c>
      <c r="AP100" s="108"/>
      <c r="AQ100" s="108"/>
      <c r="AR100" s="108"/>
      <c r="AS100" s="108"/>
      <c r="AT100" s="108"/>
      <c r="AU100" s="108"/>
      <c r="AV100" s="108"/>
      <c r="AW100" s="108"/>
      <c r="AX100" s="110"/>
      <c r="AY100" s="35"/>
      <c r="AZ100" s="35"/>
      <c r="BA100" s="35"/>
      <c r="BB100" s="35"/>
    </row>
    <row r="101" spans="1:54" ht="15" customHeight="1" x14ac:dyDescent="0.25">
      <c r="A101" s="323"/>
      <c r="B101" s="78" t="s">
        <v>324</v>
      </c>
      <c r="C101" s="75"/>
      <c r="D101" s="265"/>
      <c r="E101" s="266"/>
      <c r="F101" s="266"/>
      <c r="G101" s="283"/>
      <c r="H101" s="332" t="s">
        <v>325</v>
      </c>
      <c r="I101" s="266"/>
      <c r="J101" s="333"/>
      <c r="K101" s="339"/>
      <c r="L101" s="266"/>
      <c r="M101" s="266"/>
      <c r="N101" s="267"/>
      <c r="O101" s="265"/>
      <c r="P101" s="266"/>
      <c r="Q101" s="266"/>
      <c r="R101" s="283"/>
      <c r="S101" s="265" t="s">
        <v>325</v>
      </c>
      <c r="T101" s="266"/>
      <c r="U101" s="267"/>
      <c r="V101" s="268"/>
      <c r="W101" s="266"/>
      <c r="X101" s="266"/>
      <c r="Y101" s="267"/>
      <c r="Z101" s="35"/>
      <c r="AA101" s="68">
        <v>19</v>
      </c>
      <c r="AB101" s="310" t="s">
        <v>454</v>
      </c>
      <c r="AC101" s="243"/>
      <c r="AD101" s="103" t="s">
        <v>455</v>
      </c>
      <c r="AE101" s="104"/>
      <c r="AF101" s="104"/>
      <c r="AG101" s="104"/>
      <c r="AH101" s="104"/>
      <c r="AI101" s="104"/>
      <c r="AJ101" s="104"/>
      <c r="AK101" s="105"/>
      <c r="AL101" s="350" t="s">
        <v>422</v>
      </c>
      <c r="AM101" s="351"/>
      <c r="AN101" s="352"/>
      <c r="AO101" s="172" t="s">
        <v>451</v>
      </c>
      <c r="AP101" s="112"/>
      <c r="AQ101" s="112"/>
      <c r="AR101" s="112"/>
      <c r="AS101" s="112"/>
      <c r="AT101" s="112"/>
      <c r="AU101" s="112"/>
      <c r="AV101" s="112"/>
      <c r="AW101" s="112"/>
      <c r="AX101" s="180"/>
      <c r="AY101" s="35"/>
      <c r="AZ101" s="35"/>
      <c r="BA101" s="35"/>
      <c r="BB101" s="35"/>
    </row>
    <row r="102" spans="1:54" ht="15" customHeight="1" x14ac:dyDescent="0.25">
      <c r="A102" s="323"/>
      <c r="B102" s="76" t="s">
        <v>328</v>
      </c>
      <c r="C102" s="55">
        <v>8</v>
      </c>
      <c r="D102" s="280" t="s">
        <v>414</v>
      </c>
      <c r="E102" s="264"/>
      <c r="F102" s="56" t="s">
        <v>339</v>
      </c>
      <c r="G102" s="57" t="s">
        <v>301</v>
      </c>
      <c r="H102" s="58"/>
      <c r="I102" s="59"/>
      <c r="J102" s="60"/>
      <c r="K102" s="61" t="s">
        <v>422</v>
      </c>
      <c r="L102" s="335" t="s">
        <v>415</v>
      </c>
      <c r="M102" s="264"/>
      <c r="N102" s="62" t="s">
        <v>301</v>
      </c>
      <c r="O102" s="280"/>
      <c r="P102" s="264"/>
      <c r="Q102" s="56"/>
      <c r="R102" s="57"/>
      <c r="S102" s="63" t="s">
        <v>299</v>
      </c>
      <c r="T102" s="64" t="s">
        <v>423</v>
      </c>
      <c r="U102" s="62" t="s">
        <v>417</v>
      </c>
      <c r="V102" s="66"/>
      <c r="W102" s="263"/>
      <c r="X102" s="264"/>
      <c r="Y102" s="67"/>
      <c r="Z102" s="35"/>
      <c r="AA102" s="53"/>
      <c r="AB102" s="313" t="s">
        <v>350</v>
      </c>
      <c r="AC102" s="314"/>
      <c r="AD102" s="107" t="s">
        <v>351</v>
      </c>
      <c r="AE102" s="108"/>
      <c r="AF102" s="108"/>
      <c r="AG102" s="108"/>
      <c r="AH102" s="108"/>
      <c r="AI102" s="108"/>
      <c r="AJ102" s="108"/>
      <c r="AK102" s="109"/>
      <c r="AL102" s="350" t="s">
        <v>449</v>
      </c>
      <c r="AM102" s="351"/>
      <c r="AN102" s="352"/>
      <c r="AO102" s="111" t="s">
        <v>456</v>
      </c>
      <c r="AP102" s="178"/>
      <c r="AQ102" s="178"/>
      <c r="AR102" s="178"/>
      <c r="AS102" s="178"/>
      <c r="AT102" s="178"/>
      <c r="AU102" s="178"/>
      <c r="AV102" s="178"/>
      <c r="AW102" s="178"/>
      <c r="AX102" s="179"/>
      <c r="AY102" s="35"/>
      <c r="AZ102" s="35"/>
      <c r="BA102" s="35"/>
      <c r="BB102" s="35"/>
    </row>
    <row r="103" spans="1:54" ht="15" customHeight="1" x14ac:dyDescent="0.25">
      <c r="A103" s="324"/>
      <c r="B103" s="76" t="s">
        <v>331</v>
      </c>
      <c r="C103" s="55">
        <v>9</v>
      </c>
      <c r="D103" s="287" t="s">
        <v>414</v>
      </c>
      <c r="E103" s="260"/>
      <c r="F103" s="80" t="s">
        <v>339</v>
      </c>
      <c r="G103" s="81" t="s">
        <v>301</v>
      </c>
      <c r="H103" s="145"/>
      <c r="I103" s="167"/>
      <c r="J103" s="83"/>
      <c r="K103" s="61" t="s">
        <v>449</v>
      </c>
      <c r="L103" s="335" t="s">
        <v>316</v>
      </c>
      <c r="M103" s="264"/>
      <c r="N103" s="62" t="s">
        <v>301</v>
      </c>
      <c r="O103" s="287"/>
      <c r="P103" s="260"/>
      <c r="Q103" s="80"/>
      <c r="R103" s="81"/>
      <c r="S103" s="128" t="s">
        <v>299</v>
      </c>
      <c r="T103" s="129" t="s">
        <v>423</v>
      </c>
      <c r="U103" s="85" t="s">
        <v>417</v>
      </c>
      <c r="V103" s="89"/>
      <c r="W103" s="259"/>
      <c r="X103" s="260"/>
      <c r="Y103" s="90"/>
      <c r="Z103" s="35"/>
      <c r="AA103" s="117">
        <v>20</v>
      </c>
      <c r="AB103" s="343" t="s">
        <v>339</v>
      </c>
      <c r="AC103" s="344"/>
      <c r="AD103" s="120" t="s">
        <v>457</v>
      </c>
      <c r="AE103" s="121"/>
      <c r="AF103" s="121"/>
      <c r="AG103" s="121"/>
      <c r="AH103" s="121"/>
      <c r="AI103" s="121"/>
      <c r="AJ103" s="121"/>
      <c r="AK103" s="122"/>
      <c r="AL103" s="343" t="s">
        <v>414</v>
      </c>
      <c r="AM103" s="353"/>
      <c r="AN103" s="344"/>
      <c r="AO103" s="120" t="s">
        <v>448</v>
      </c>
      <c r="AP103" s="121"/>
      <c r="AQ103" s="121"/>
      <c r="AR103" s="121"/>
      <c r="AS103" s="121"/>
      <c r="AT103" s="121"/>
      <c r="AU103" s="121"/>
      <c r="AV103" s="121"/>
      <c r="AW103" s="121"/>
      <c r="AX103" s="181"/>
      <c r="AY103" s="35"/>
      <c r="AZ103" s="35"/>
      <c r="BA103" s="35"/>
      <c r="BB103" s="35"/>
    </row>
    <row r="104" spans="1:54" ht="15" customHeight="1" x14ac:dyDescent="0.25">
      <c r="A104" s="322" t="s">
        <v>355</v>
      </c>
      <c r="B104" s="91" t="s">
        <v>291</v>
      </c>
      <c r="C104" s="92">
        <v>1</v>
      </c>
      <c r="D104" s="288" t="s">
        <v>449</v>
      </c>
      <c r="E104" s="270"/>
      <c r="F104" s="99" t="s">
        <v>454</v>
      </c>
      <c r="G104" s="147" t="s">
        <v>301</v>
      </c>
      <c r="H104" s="168"/>
      <c r="I104" s="169"/>
      <c r="J104" s="146"/>
      <c r="K104" s="170" t="s">
        <v>422</v>
      </c>
      <c r="L104" s="338" t="s">
        <v>415</v>
      </c>
      <c r="M104" s="270"/>
      <c r="N104" s="171" t="s">
        <v>301</v>
      </c>
      <c r="O104" s="288"/>
      <c r="P104" s="270"/>
      <c r="Q104" s="99"/>
      <c r="R104" s="147"/>
      <c r="S104" s="98" t="s">
        <v>357</v>
      </c>
      <c r="T104" s="130" t="s">
        <v>458</v>
      </c>
      <c r="U104" s="100" t="s">
        <v>417</v>
      </c>
      <c r="V104" s="131"/>
      <c r="W104" s="261"/>
      <c r="X104" s="262"/>
      <c r="Y104" s="102"/>
      <c r="Z104" s="35"/>
      <c r="AA104" s="182"/>
      <c r="AB104" s="341"/>
      <c r="AC104" s="342"/>
      <c r="AD104" s="37"/>
      <c r="AE104" s="37"/>
      <c r="AF104" s="37"/>
      <c r="AG104" s="37"/>
      <c r="AH104" s="37"/>
      <c r="AI104" s="37"/>
      <c r="AJ104" s="37"/>
      <c r="AK104" s="37"/>
      <c r="AL104" s="341"/>
      <c r="AM104" s="354"/>
      <c r="AN104" s="342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5"/>
      <c r="AZ104" s="35"/>
      <c r="BA104" s="35"/>
      <c r="BB104" s="35"/>
    </row>
    <row r="105" spans="1:54" ht="15" customHeight="1" x14ac:dyDescent="0.25">
      <c r="A105" s="323"/>
      <c r="B105" s="54" t="s">
        <v>295</v>
      </c>
      <c r="C105" s="55">
        <v>2</v>
      </c>
      <c r="D105" s="280" t="s">
        <v>449</v>
      </c>
      <c r="E105" s="264"/>
      <c r="F105" s="56" t="s">
        <v>454</v>
      </c>
      <c r="G105" s="57" t="s">
        <v>301</v>
      </c>
      <c r="H105" s="69"/>
      <c r="I105" s="70"/>
      <c r="J105" s="71"/>
      <c r="K105" s="61" t="s">
        <v>422</v>
      </c>
      <c r="L105" s="335" t="s">
        <v>415</v>
      </c>
      <c r="M105" s="264"/>
      <c r="N105" s="62" t="s">
        <v>301</v>
      </c>
      <c r="O105" s="280"/>
      <c r="P105" s="264"/>
      <c r="Q105" s="56"/>
      <c r="R105" s="57"/>
      <c r="S105" s="63" t="s">
        <v>357</v>
      </c>
      <c r="T105" s="130" t="s">
        <v>458</v>
      </c>
      <c r="U105" s="77" t="s">
        <v>417</v>
      </c>
      <c r="V105" s="132"/>
      <c r="W105" s="263"/>
      <c r="X105" s="264"/>
      <c r="Y105" s="67"/>
      <c r="Z105" s="35"/>
      <c r="AA105" s="38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35"/>
      <c r="AZ105" s="35"/>
      <c r="BA105" s="35"/>
      <c r="BB105" s="35"/>
    </row>
    <row r="106" spans="1:54" ht="15" customHeight="1" x14ac:dyDescent="0.25">
      <c r="A106" s="323"/>
      <c r="B106" s="54" t="s">
        <v>302</v>
      </c>
      <c r="C106" s="55">
        <v>3</v>
      </c>
      <c r="D106" s="280" t="s">
        <v>449</v>
      </c>
      <c r="E106" s="264"/>
      <c r="F106" s="56" t="s">
        <v>454</v>
      </c>
      <c r="G106" s="57" t="s">
        <v>301</v>
      </c>
      <c r="H106" s="69"/>
      <c r="I106" s="70"/>
      <c r="J106" s="71"/>
      <c r="K106" s="61" t="s">
        <v>422</v>
      </c>
      <c r="L106" s="335" t="s">
        <v>415</v>
      </c>
      <c r="M106" s="264"/>
      <c r="N106" s="62" t="s">
        <v>301</v>
      </c>
      <c r="O106" s="280"/>
      <c r="P106" s="264"/>
      <c r="Q106" s="56"/>
      <c r="R106" s="57"/>
      <c r="S106" s="63" t="s">
        <v>357</v>
      </c>
      <c r="T106" s="130" t="s">
        <v>458</v>
      </c>
      <c r="U106" s="62" t="s">
        <v>417</v>
      </c>
      <c r="V106" s="132"/>
      <c r="W106" s="263"/>
      <c r="X106" s="264"/>
      <c r="Y106" s="67"/>
      <c r="Z106" s="35"/>
      <c r="AA106" s="39" t="s">
        <v>359</v>
      </c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</row>
    <row r="107" spans="1:54" ht="15" customHeight="1" x14ac:dyDescent="0.25">
      <c r="A107" s="323"/>
      <c r="B107" s="54" t="s">
        <v>305</v>
      </c>
      <c r="C107" s="55">
        <v>4</v>
      </c>
      <c r="D107" s="280" t="s">
        <v>449</v>
      </c>
      <c r="E107" s="264"/>
      <c r="F107" s="56" t="s">
        <v>454</v>
      </c>
      <c r="G107" s="57" t="s">
        <v>301</v>
      </c>
      <c r="H107" s="69"/>
      <c r="I107" s="70"/>
      <c r="J107" s="71"/>
      <c r="K107" s="61" t="s">
        <v>422</v>
      </c>
      <c r="L107" s="335" t="s">
        <v>415</v>
      </c>
      <c r="M107" s="264"/>
      <c r="N107" s="62" t="s">
        <v>301</v>
      </c>
      <c r="O107" s="280"/>
      <c r="P107" s="264"/>
      <c r="Q107" s="56"/>
      <c r="R107" s="57"/>
      <c r="S107" s="63" t="s">
        <v>353</v>
      </c>
      <c r="T107" s="64" t="s">
        <v>435</v>
      </c>
      <c r="U107" s="62" t="s">
        <v>417</v>
      </c>
      <c r="V107" s="66"/>
      <c r="W107" s="263"/>
      <c r="X107" s="264"/>
      <c r="Y107" s="67"/>
      <c r="Z107" s="35"/>
      <c r="AA107" s="133" t="s">
        <v>360</v>
      </c>
      <c r="AB107" s="134"/>
      <c r="AC107" s="134"/>
      <c r="AD107" s="135">
        <v>1</v>
      </c>
      <c r="AE107" s="135">
        <v>2</v>
      </c>
      <c r="AF107" s="135">
        <v>3</v>
      </c>
      <c r="AG107" s="135">
        <v>4</v>
      </c>
      <c r="AH107" s="135">
        <v>5</v>
      </c>
      <c r="AI107" s="135">
        <v>6</v>
      </c>
      <c r="AJ107" s="135">
        <v>7</v>
      </c>
      <c r="AK107" s="135">
        <v>8</v>
      </c>
      <c r="AL107" s="135">
        <v>9</v>
      </c>
      <c r="AM107" s="135">
        <v>10</v>
      </c>
      <c r="AN107" s="135">
        <v>11</v>
      </c>
      <c r="AO107" s="135">
        <v>12</v>
      </c>
      <c r="AP107" s="135">
        <v>13</v>
      </c>
      <c r="AQ107" s="135">
        <v>14</v>
      </c>
      <c r="AR107" s="135">
        <v>15</v>
      </c>
      <c r="AS107" s="135">
        <v>16</v>
      </c>
      <c r="AT107" s="135">
        <v>17</v>
      </c>
      <c r="AU107" s="135">
        <v>18</v>
      </c>
      <c r="AV107" s="135">
        <v>19</v>
      </c>
      <c r="AW107" s="135">
        <v>20</v>
      </c>
      <c r="AX107" s="136">
        <v>21</v>
      </c>
      <c r="AY107" s="35"/>
      <c r="AZ107" s="35"/>
      <c r="BA107" s="35"/>
      <c r="BB107" s="35"/>
    </row>
    <row r="108" spans="1:54" ht="15" customHeight="1" x14ac:dyDescent="0.25">
      <c r="A108" s="323"/>
      <c r="B108" s="74" t="s">
        <v>308</v>
      </c>
      <c r="C108" s="75"/>
      <c r="D108" s="265"/>
      <c r="E108" s="266"/>
      <c r="F108" s="266"/>
      <c r="G108" s="283"/>
      <c r="H108" s="332" t="s">
        <v>309</v>
      </c>
      <c r="I108" s="266"/>
      <c r="J108" s="333"/>
      <c r="K108" s="339"/>
      <c r="L108" s="266"/>
      <c r="M108" s="266"/>
      <c r="N108" s="267"/>
      <c r="O108" s="265"/>
      <c r="P108" s="266"/>
      <c r="Q108" s="266"/>
      <c r="R108" s="283"/>
      <c r="S108" s="265" t="s">
        <v>309</v>
      </c>
      <c r="T108" s="266"/>
      <c r="U108" s="267"/>
      <c r="V108" s="268"/>
      <c r="W108" s="266"/>
      <c r="X108" s="266"/>
      <c r="Y108" s="267"/>
      <c r="Z108" s="35"/>
      <c r="AA108" s="271" t="s">
        <v>361</v>
      </c>
      <c r="AB108" s="272"/>
      <c r="AC108" s="273"/>
      <c r="AD108" s="252" t="s">
        <v>459</v>
      </c>
      <c r="AE108" s="252" t="s">
        <v>363</v>
      </c>
      <c r="AF108" s="252" t="s">
        <v>364</v>
      </c>
      <c r="AG108" s="252" t="s">
        <v>365</v>
      </c>
      <c r="AH108" s="252" t="s">
        <v>366</v>
      </c>
      <c r="AI108" s="252" t="s">
        <v>367</v>
      </c>
      <c r="AJ108" s="255" t="s">
        <v>368</v>
      </c>
      <c r="AK108" s="252" t="s">
        <v>369</v>
      </c>
      <c r="AL108" s="252" t="s">
        <v>370</v>
      </c>
      <c r="AM108" s="252" t="s">
        <v>371</v>
      </c>
      <c r="AN108" s="252" t="s">
        <v>372</v>
      </c>
      <c r="AO108" s="252" t="s">
        <v>373</v>
      </c>
      <c r="AP108" s="252" t="s">
        <v>374</v>
      </c>
      <c r="AQ108" s="252" t="s">
        <v>375</v>
      </c>
      <c r="AR108" s="252" t="s">
        <v>376</v>
      </c>
      <c r="AS108" s="252" t="s">
        <v>377</v>
      </c>
      <c r="AT108" s="252" t="s">
        <v>378</v>
      </c>
      <c r="AU108" s="252" t="s">
        <v>379</v>
      </c>
      <c r="AV108" s="252" t="s">
        <v>380</v>
      </c>
      <c r="AW108" s="252" t="s">
        <v>381</v>
      </c>
      <c r="AX108" s="256" t="s">
        <v>382</v>
      </c>
      <c r="AY108" s="35"/>
      <c r="AZ108" s="35"/>
      <c r="BA108" s="35"/>
      <c r="BB108" s="35"/>
    </row>
    <row r="109" spans="1:54" ht="15" customHeight="1" x14ac:dyDescent="0.25">
      <c r="A109" s="323"/>
      <c r="B109" s="76" t="s">
        <v>311</v>
      </c>
      <c r="C109" s="55">
        <v>5</v>
      </c>
      <c r="D109" s="280" t="s">
        <v>422</v>
      </c>
      <c r="E109" s="264"/>
      <c r="F109" s="56" t="s">
        <v>454</v>
      </c>
      <c r="G109" s="57" t="s">
        <v>301</v>
      </c>
      <c r="H109" s="69"/>
      <c r="I109" s="70"/>
      <c r="J109" s="71"/>
      <c r="K109" s="61" t="s">
        <v>414</v>
      </c>
      <c r="L109" s="335" t="s">
        <v>415</v>
      </c>
      <c r="M109" s="264"/>
      <c r="N109" s="62" t="s">
        <v>301</v>
      </c>
      <c r="O109" s="280"/>
      <c r="P109" s="264"/>
      <c r="Q109" s="56"/>
      <c r="R109" s="57"/>
      <c r="S109" s="63" t="s">
        <v>353</v>
      </c>
      <c r="T109" s="64" t="s">
        <v>435</v>
      </c>
      <c r="U109" s="65" t="s">
        <v>417</v>
      </c>
      <c r="V109" s="66"/>
      <c r="W109" s="263"/>
      <c r="X109" s="264"/>
      <c r="Y109" s="67"/>
      <c r="Z109" s="35"/>
      <c r="AA109" s="274"/>
      <c r="AB109" s="275"/>
      <c r="AC109" s="276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253"/>
      <c r="AW109" s="253"/>
      <c r="AX109" s="257"/>
      <c r="AY109" s="35"/>
      <c r="AZ109" s="35"/>
      <c r="BA109" s="35"/>
      <c r="BB109" s="35"/>
    </row>
    <row r="110" spans="1:54" ht="15" customHeight="1" x14ac:dyDescent="0.25">
      <c r="A110" s="323"/>
      <c r="B110" s="76" t="s">
        <v>314</v>
      </c>
      <c r="C110" s="55">
        <v>6</v>
      </c>
      <c r="D110" s="280" t="s">
        <v>422</v>
      </c>
      <c r="E110" s="264"/>
      <c r="F110" s="56" t="s">
        <v>454</v>
      </c>
      <c r="G110" s="57" t="s">
        <v>301</v>
      </c>
      <c r="H110" s="69"/>
      <c r="I110" s="70"/>
      <c r="J110" s="71"/>
      <c r="K110" s="61" t="s">
        <v>414</v>
      </c>
      <c r="L110" s="335" t="s">
        <v>415</v>
      </c>
      <c r="M110" s="264"/>
      <c r="N110" s="62" t="s">
        <v>301</v>
      </c>
      <c r="O110" s="280"/>
      <c r="P110" s="264"/>
      <c r="Q110" s="56"/>
      <c r="R110" s="57"/>
      <c r="S110" s="63" t="s">
        <v>148</v>
      </c>
      <c r="T110" s="137" t="s">
        <v>429</v>
      </c>
      <c r="U110" s="65" t="s">
        <v>417</v>
      </c>
      <c r="V110" s="66"/>
      <c r="W110" s="263"/>
      <c r="X110" s="264"/>
      <c r="Y110" s="67"/>
      <c r="Z110" s="35"/>
      <c r="AA110" s="274"/>
      <c r="AB110" s="275"/>
      <c r="AC110" s="276"/>
      <c r="AD110" s="253"/>
      <c r="AE110" s="253"/>
      <c r="AF110" s="253"/>
      <c r="AG110" s="253"/>
      <c r="AH110" s="253"/>
      <c r="AI110" s="253"/>
      <c r="AJ110" s="253"/>
      <c r="AK110" s="253"/>
      <c r="AL110" s="253"/>
      <c r="AM110" s="253"/>
      <c r="AN110" s="253"/>
      <c r="AO110" s="253"/>
      <c r="AP110" s="253"/>
      <c r="AQ110" s="253"/>
      <c r="AR110" s="253"/>
      <c r="AS110" s="253"/>
      <c r="AT110" s="253"/>
      <c r="AU110" s="253"/>
      <c r="AV110" s="253"/>
      <c r="AW110" s="253"/>
      <c r="AX110" s="257"/>
      <c r="AY110" s="35"/>
      <c r="AZ110" s="35"/>
      <c r="BA110" s="35"/>
      <c r="BB110" s="35"/>
    </row>
    <row r="111" spans="1:54" ht="15" customHeight="1" x14ac:dyDescent="0.25">
      <c r="A111" s="323"/>
      <c r="B111" s="76" t="s">
        <v>321</v>
      </c>
      <c r="C111" s="55">
        <v>7</v>
      </c>
      <c r="D111" s="280" t="s">
        <v>422</v>
      </c>
      <c r="E111" s="264"/>
      <c r="F111" s="56" t="s">
        <v>454</v>
      </c>
      <c r="G111" s="57" t="s">
        <v>301</v>
      </c>
      <c r="H111" s="69"/>
      <c r="I111" s="70"/>
      <c r="J111" s="71"/>
      <c r="K111" s="61" t="s">
        <v>414</v>
      </c>
      <c r="L111" s="335" t="s">
        <v>415</v>
      </c>
      <c r="M111" s="264"/>
      <c r="N111" s="62" t="s">
        <v>301</v>
      </c>
      <c r="O111" s="280"/>
      <c r="P111" s="264"/>
      <c r="Q111" s="56"/>
      <c r="R111" s="57"/>
      <c r="S111" s="63" t="s">
        <v>148</v>
      </c>
      <c r="T111" s="137" t="s">
        <v>429</v>
      </c>
      <c r="U111" s="65" t="s">
        <v>417</v>
      </c>
      <c r="V111" s="66"/>
      <c r="W111" s="263"/>
      <c r="X111" s="264"/>
      <c r="Y111" s="67"/>
      <c r="Z111" s="35"/>
      <c r="AA111" s="274"/>
      <c r="AB111" s="275"/>
      <c r="AC111" s="276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253"/>
      <c r="AU111" s="253"/>
      <c r="AV111" s="253"/>
      <c r="AW111" s="253"/>
      <c r="AX111" s="257"/>
      <c r="AY111" s="35"/>
      <c r="AZ111" s="35"/>
      <c r="BA111" s="35"/>
      <c r="BB111" s="35"/>
    </row>
    <row r="112" spans="1:54" ht="15" customHeight="1" x14ac:dyDescent="0.25">
      <c r="A112" s="323"/>
      <c r="B112" s="78" t="s">
        <v>324</v>
      </c>
      <c r="C112" s="75"/>
      <c r="D112" s="265"/>
      <c r="E112" s="266"/>
      <c r="F112" s="266"/>
      <c r="G112" s="283"/>
      <c r="H112" s="332" t="s">
        <v>325</v>
      </c>
      <c r="I112" s="266"/>
      <c r="J112" s="333"/>
      <c r="K112" s="339"/>
      <c r="L112" s="266"/>
      <c r="M112" s="266"/>
      <c r="N112" s="267"/>
      <c r="O112" s="265"/>
      <c r="P112" s="266"/>
      <c r="Q112" s="266"/>
      <c r="R112" s="283"/>
      <c r="S112" s="265" t="s">
        <v>325</v>
      </c>
      <c r="T112" s="266"/>
      <c r="U112" s="267"/>
      <c r="V112" s="268"/>
      <c r="W112" s="266"/>
      <c r="X112" s="266"/>
      <c r="Y112" s="267"/>
      <c r="Z112" s="35"/>
      <c r="AA112" s="274"/>
      <c r="AB112" s="275"/>
      <c r="AC112" s="276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  <c r="AO112" s="253"/>
      <c r="AP112" s="253"/>
      <c r="AQ112" s="253"/>
      <c r="AR112" s="253"/>
      <c r="AS112" s="253"/>
      <c r="AT112" s="253"/>
      <c r="AU112" s="253"/>
      <c r="AV112" s="253"/>
      <c r="AW112" s="253"/>
      <c r="AX112" s="257"/>
      <c r="AY112" s="35"/>
      <c r="AZ112" s="35"/>
      <c r="BA112" s="35"/>
      <c r="BB112" s="35"/>
    </row>
    <row r="113" spans="1:54" ht="15" customHeight="1" x14ac:dyDescent="0.25">
      <c r="A113" s="323"/>
      <c r="B113" s="76" t="s">
        <v>328</v>
      </c>
      <c r="C113" s="55">
        <v>8</v>
      </c>
      <c r="D113" s="280" t="s">
        <v>414</v>
      </c>
      <c r="E113" s="264"/>
      <c r="F113" s="56" t="s">
        <v>339</v>
      </c>
      <c r="G113" s="57" t="s">
        <v>301</v>
      </c>
      <c r="H113" s="58"/>
      <c r="I113" s="59"/>
      <c r="J113" s="60"/>
      <c r="K113" s="61" t="s">
        <v>422</v>
      </c>
      <c r="L113" s="335" t="s">
        <v>415</v>
      </c>
      <c r="M113" s="264"/>
      <c r="N113" s="62" t="s">
        <v>301</v>
      </c>
      <c r="O113" s="280"/>
      <c r="P113" s="264"/>
      <c r="Q113" s="56"/>
      <c r="R113" s="57"/>
      <c r="S113" s="63" t="s">
        <v>335</v>
      </c>
      <c r="T113" s="64" t="s">
        <v>424</v>
      </c>
      <c r="U113" s="62" t="s">
        <v>417</v>
      </c>
      <c r="V113" s="66"/>
      <c r="W113" s="263"/>
      <c r="X113" s="264"/>
      <c r="Y113" s="67"/>
      <c r="Z113" s="35"/>
      <c r="AA113" s="274"/>
      <c r="AB113" s="275"/>
      <c r="AC113" s="276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57"/>
      <c r="AY113" s="35"/>
      <c r="AZ113" s="35"/>
      <c r="BA113" s="35"/>
      <c r="BB113" s="35"/>
    </row>
    <row r="114" spans="1:54" ht="15" customHeight="1" x14ac:dyDescent="0.25">
      <c r="A114" s="324"/>
      <c r="B114" s="138" t="s">
        <v>331</v>
      </c>
      <c r="C114" s="55">
        <v>9</v>
      </c>
      <c r="D114" s="287" t="s">
        <v>422</v>
      </c>
      <c r="E114" s="260"/>
      <c r="F114" s="80" t="s">
        <v>454</v>
      </c>
      <c r="G114" s="81" t="s">
        <v>301</v>
      </c>
      <c r="H114" s="145"/>
      <c r="I114" s="167"/>
      <c r="J114" s="83"/>
      <c r="K114" s="84" t="s">
        <v>414</v>
      </c>
      <c r="L114" s="337" t="s">
        <v>415</v>
      </c>
      <c r="M114" s="260"/>
      <c r="N114" s="85" t="s">
        <v>301</v>
      </c>
      <c r="O114" s="287"/>
      <c r="P114" s="260"/>
      <c r="Q114" s="80"/>
      <c r="R114" s="81"/>
      <c r="S114" s="128" t="s">
        <v>335</v>
      </c>
      <c r="T114" s="129" t="s">
        <v>424</v>
      </c>
      <c r="U114" s="85" t="s">
        <v>417</v>
      </c>
      <c r="V114" s="89"/>
      <c r="W114" s="259"/>
      <c r="X114" s="260"/>
      <c r="Y114" s="90"/>
      <c r="Z114" s="35"/>
      <c r="AA114" s="277"/>
      <c r="AB114" s="278"/>
      <c r="AC114" s="279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57"/>
      <c r="AY114" s="35"/>
      <c r="AZ114" s="35"/>
      <c r="BA114" s="35"/>
      <c r="BB114" s="35"/>
    </row>
    <row r="115" spans="1:54" ht="15" customHeight="1" x14ac:dyDescent="0.25">
      <c r="A115" s="322" t="s">
        <v>390</v>
      </c>
      <c r="B115" s="91" t="s">
        <v>291</v>
      </c>
      <c r="C115" s="92">
        <v>1</v>
      </c>
      <c r="D115" s="288" t="s">
        <v>449</v>
      </c>
      <c r="E115" s="270"/>
      <c r="F115" s="99" t="s">
        <v>454</v>
      </c>
      <c r="G115" s="147" t="s">
        <v>301</v>
      </c>
      <c r="H115" s="168"/>
      <c r="I115" s="169"/>
      <c r="J115" s="146"/>
      <c r="K115" s="61" t="s">
        <v>414</v>
      </c>
      <c r="L115" s="335" t="s">
        <v>415</v>
      </c>
      <c r="M115" s="264"/>
      <c r="N115" s="171" t="s">
        <v>301</v>
      </c>
      <c r="O115" s="288"/>
      <c r="P115" s="270"/>
      <c r="Q115" s="99"/>
      <c r="R115" s="147"/>
      <c r="S115" s="98" t="s">
        <v>329</v>
      </c>
      <c r="T115" s="130" t="s">
        <v>330</v>
      </c>
      <c r="U115" s="100" t="s">
        <v>417</v>
      </c>
      <c r="V115" s="131"/>
      <c r="W115" s="261"/>
      <c r="X115" s="262"/>
      <c r="Y115" s="102"/>
      <c r="Z115" s="35"/>
      <c r="AA115" s="316" t="s">
        <v>384</v>
      </c>
      <c r="AB115" s="317"/>
      <c r="AC115" s="318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58"/>
      <c r="AY115" s="35"/>
      <c r="AZ115" s="35"/>
      <c r="BA115" s="35"/>
      <c r="BB115" s="35"/>
    </row>
    <row r="116" spans="1:54" ht="15" customHeight="1" x14ac:dyDescent="0.25">
      <c r="A116" s="323"/>
      <c r="B116" s="54" t="s">
        <v>295</v>
      </c>
      <c r="C116" s="55">
        <v>2</v>
      </c>
      <c r="D116" s="280" t="s">
        <v>449</v>
      </c>
      <c r="E116" s="264"/>
      <c r="F116" s="56" t="s">
        <v>454</v>
      </c>
      <c r="G116" s="57" t="s">
        <v>301</v>
      </c>
      <c r="H116" s="69"/>
      <c r="I116" s="70"/>
      <c r="J116" s="71"/>
      <c r="K116" s="61" t="s">
        <v>414</v>
      </c>
      <c r="L116" s="335" t="s">
        <v>415</v>
      </c>
      <c r="M116" s="264"/>
      <c r="N116" s="62" t="s">
        <v>301</v>
      </c>
      <c r="O116" s="280"/>
      <c r="P116" s="264"/>
      <c r="Q116" s="56"/>
      <c r="R116" s="57"/>
      <c r="S116" s="63" t="s">
        <v>329</v>
      </c>
      <c r="T116" s="64" t="s">
        <v>330</v>
      </c>
      <c r="U116" s="77" t="s">
        <v>417</v>
      </c>
      <c r="V116" s="132"/>
      <c r="W116" s="263"/>
      <c r="X116" s="264"/>
      <c r="Y116" s="67"/>
      <c r="Z116" s="35"/>
      <c r="AA116" s="319" t="s">
        <v>385</v>
      </c>
      <c r="AB116" s="320"/>
      <c r="AC116" s="321"/>
      <c r="AD116" s="286" t="s">
        <v>386</v>
      </c>
      <c r="AE116" s="285" t="s">
        <v>387</v>
      </c>
      <c r="AF116" s="286" t="s">
        <v>386</v>
      </c>
      <c r="AG116" s="285" t="s">
        <v>387</v>
      </c>
      <c r="AH116" s="286" t="s">
        <v>386</v>
      </c>
      <c r="AI116" s="285" t="s">
        <v>387</v>
      </c>
      <c r="AJ116" s="286" t="s">
        <v>386</v>
      </c>
      <c r="AK116" s="285" t="s">
        <v>387</v>
      </c>
      <c r="AL116" s="286" t="s">
        <v>386</v>
      </c>
      <c r="AM116" s="296" t="s">
        <v>388</v>
      </c>
      <c r="AN116" s="285" t="s">
        <v>387</v>
      </c>
      <c r="AO116" s="286" t="s">
        <v>386</v>
      </c>
      <c r="AP116" s="285" t="s">
        <v>387</v>
      </c>
      <c r="AQ116" s="286" t="s">
        <v>386</v>
      </c>
      <c r="AR116" s="285" t="s">
        <v>387</v>
      </c>
      <c r="AS116" s="286" t="s">
        <v>386</v>
      </c>
      <c r="AT116" s="285" t="s">
        <v>387</v>
      </c>
      <c r="AU116" s="286" t="s">
        <v>386</v>
      </c>
      <c r="AV116" s="285" t="s">
        <v>387</v>
      </c>
      <c r="AW116" s="286" t="s">
        <v>386</v>
      </c>
      <c r="AX116" s="297" t="s">
        <v>389</v>
      </c>
      <c r="AY116" s="35"/>
      <c r="AZ116" s="35"/>
      <c r="BA116" s="35"/>
      <c r="BB116" s="35"/>
    </row>
    <row r="117" spans="1:54" ht="15" customHeight="1" x14ac:dyDescent="0.25">
      <c r="A117" s="323"/>
      <c r="B117" s="54" t="s">
        <v>302</v>
      </c>
      <c r="C117" s="55">
        <v>3</v>
      </c>
      <c r="D117" s="280" t="s">
        <v>449</v>
      </c>
      <c r="E117" s="264"/>
      <c r="F117" s="56" t="s">
        <v>454</v>
      </c>
      <c r="G117" s="57" t="s">
        <v>301</v>
      </c>
      <c r="H117" s="69"/>
      <c r="I117" s="70"/>
      <c r="J117" s="71"/>
      <c r="K117" s="61" t="s">
        <v>414</v>
      </c>
      <c r="L117" s="335" t="s">
        <v>415</v>
      </c>
      <c r="M117" s="264"/>
      <c r="N117" s="62" t="s">
        <v>301</v>
      </c>
      <c r="O117" s="280"/>
      <c r="P117" s="264"/>
      <c r="Q117" s="56"/>
      <c r="R117" s="57"/>
      <c r="S117" s="63" t="s">
        <v>329</v>
      </c>
      <c r="T117" s="64" t="s">
        <v>330</v>
      </c>
      <c r="U117" s="62" t="s">
        <v>417</v>
      </c>
      <c r="V117" s="132"/>
      <c r="W117" s="263"/>
      <c r="X117" s="264"/>
      <c r="Y117" s="67"/>
      <c r="Z117" s="35"/>
      <c r="AA117" s="300"/>
      <c r="AB117" s="301"/>
      <c r="AC117" s="302"/>
      <c r="AD117" s="250"/>
      <c r="AE117" s="250"/>
      <c r="AF117" s="250"/>
      <c r="AG117" s="250"/>
      <c r="AH117" s="250"/>
      <c r="AI117" s="250"/>
      <c r="AJ117" s="250"/>
      <c r="AK117" s="250"/>
      <c r="AL117" s="250"/>
      <c r="AM117" s="253"/>
      <c r="AN117" s="250"/>
      <c r="AO117" s="250"/>
      <c r="AP117" s="250"/>
      <c r="AQ117" s="250"/>
      <c r="AR117" s="250"/>
      <c r="AS117" s="250"/>
      <c r="AT117" s="250"/>
      <c r="AU117" s="250"/>
      <c r="AV117" s="250"/>
      <c r="AW117" s="250"/>
      <c r="AX117" s="257"/>
      <c r="AY117" s="35"/>
      <c r="AZ117" s="35"/>
      <c r="BA117" s="35"/>
      <c r="BB117" s="35"/>
    </row>
    <row r="118" spans="1:54" ht="15" customHeight="1" x14ac:dyDescent="0.25">
      <c r="A118" s="323"/>
      <c r="B118" s="54" t="s">
        <v>305</v>
      </c>
      <c r="C118" s="55">
        <v>4</v>
      </c>
      <c r="D118" s="280" t="s">
        <v>449</v>
      </c>
      <c r="E118" s="264"/>
      <c r="F118" s="56" t="s">
        <v>454</v>
      </c>
      <c r="G118" s="57" t="s">
        <v>301</v>
      </c>
      <c r="H118" s="72"/>
      <c r="I118" s="56"/>
      <c r="J118" s="73"/>
      <c r="K118" s="61" t="s">
        <v>414</v>
      </c>
      <c r="L118" s="335" t="s">
        <v>415</v>
      </c>
      <c r="M118" s="264"/>
      <c r="N118" s="62" t="s">
        <v>301</v>
      </c>
      <c r="O118" s="280"/>
      <c r="P118" s="264"/>
      <c r="Q118" s="56"/>
      <c r="R118" s="57"/>
      <c r="S118" s="63" t="s">
        <v>148</v>
      </c>
      <c r="T118" s="64" t="s">
        <v>429</v>
      </c>
      <c r="U118" s="62" t="s">
        <v>417</v>
      </c>
      <c r="V118" s="66"/>
      <c r="W118" s="263"/>
      <c r="X118" s="264"/>
      <c r="Y118" s="67"/>
      <c r="Z118" s="35"/>
      <c r="AA118" s="299" t="s">
        <v>392</v>
      </c>
      <c r="AB118" s="272"/>
      <c r="AC118" s="273"/>
      <c r="AD118" s="249" t="s">
        <v>387</v>
      </c>
      <c r="AE118" s="251" t="s">
        <v>386</v>
      </c>
      <c r="AF118" s="249" t="s">
        <v>387</v>
      </c>
      <c r="AG118" s="251" t="s">
        <v>386</v>
      </c>
      <c r="AH118" s="249" t="s">
        <v>387</v>
      </c>
      <c r="AI118" s="251" t="s">
        <v>386</v>
      </c>
      <c r="AJ118" s="249" t="s">
        <v>387</v>
      </c>
      <c r="AK118" s="251" t="s">
        <v>386</v>
      </c>
      <c r="AL118" s="249" t="s">
        <v>387</v>
      </c>
      <c r="AM118" s="253"/>
      <c r="AN118" s="251" t="s">
        <v>386</v>
      </c>
      <c r="AO118" s="249" t="s">
        <v>387</v>
      </c>
      <c r="AP118" s="251" t="s">
        <v>386</v>
      </c>
      <c r="AQ118" s="249" t="s">
        <v>387</v>
      </c>
      <c r="AR118" s="251" t="s">
        <v>386</v>
      </c>
      <c r="AS118" s="249" t="s">
        <v>387</v>
      </c>
      <c r="AT118" s="251" t="s">
        <v>386</v>
      </c>
      <c r="AU118" s="249" t="s">
        <v>387</v>
      </c>
      <c r="AV118" s="251" t="s">
        <v>386</v>
      </c>
      <c r="AW118" s="249" t="s">
        <v>387</v>
      </c>
      <c r="AX118" s="257"/>
      <c r="AY118" s="35"/>
      <c r="AZ118" s="35"/>
      <c r="BA118" s="35"/>
      <c r="BB118" s="35"/>
    </row>
    <row r="119" spans="1:54" ht="15" customHeight="1" x14ac:dyDescent="0.25">
      <c r="A119" s="323"/>
      <c r="B119" s="74" t="s">
        <v>308</v>
      </c>
      <c r="C119" s="75"/>
      <c r="D119" s="265"/>
      <c r="E119" s="266"/>
      <c r="F119" s="266"/>
      <c r="G119" s="283"/>
      <c r="H119" s="332" t="s">
        <v>309</v>
      </c>
      <c r="I119" s="266"/>
      <c r="J119" s="333"/>
      <c r="K119" s="339"/>
      <c r="L119" s="266"/>
      <c r="M119" s="266"/>
      <c r="N119" s="267"/>
      <c r="O119" s="265"/>
      <c r="P119" s="266"/>
      <c r="Q119" s="266"/>
      <c r="R119" s="283"/>
      <c r="S119" s="265" t="s">
        <v>309</v>
      </c>
      <c r="T119" s="266"/>
      <c r="U119" s="267"/>
      <c r="V119" s="268"/>
      <c r="W119" s="266"/>
      <c r="X119" s="266"/>
      <c r="Y119" s="267"/>
      <c r="Z119" s="35"/>
      <c r="AA119" s="300"/>
      <c r="AB119" s="301"/>
      <c r="AC119" s="302"/>
      <c r="AD119" s="250"/>
      <c r="AE119" s="250"/>
      <c r="AF119" s="250"/>
      <c r="AG119" s="250"/>
      <c r="AH119" s="250"/>
      <c r="AI119" s="250"/>
      <c r="AJ119" s="250"/>
      <c r="AK119" s="250"/>
      <c r="AL119" s="250"/>
      <c r="AM119" s="253"/>
      <c r="AN119" s="250"/>
      <c r="AO119" s="250"/>
      <c r="AP119" s="250"/>
      <c r="AQ119" s="250"/>
      <c r="AR119" s="250"/>
      <c r="AS119" s="250"/>
      <c r="AT119" s="250"/>
      <c r="AU119" s="250"/>
      <c r="AV119" s="250"/>
      <c r="AW119" s="250"/>
      <c r="AX119" s="257"/>
      <c r="AY119" s="35"/>
      <c r="AZ119" s="35"/>
      <c r="BA119" s="35"/>
      <c r="BB119" s="35"/>
    </row>
    <row r="120" spans="1:54" ht="15" customHeight="1" x14ac:dyDescent="0.25">
      <c r="A120" s="323"/>
      <c r="B120" s="76" t="s">
        <v>311</v>
      </c>
      <c r="C120" s="55">
        <v>5</v>
      </c>
      <c r="D120" s="280" t="s">
        <v>422</v>
      </c>
      <c r="E120" s="264"/>
      <c r="F120" s="56" t="s">
        <v>454</v>
      </c>
      <c r="G120" s="57" t="s">
        <v>301</v>
      </c>
      <c r="H120" s="72"/>
      <c r="I120" s="56"/>
      <c r="J120" s="73"/>
      <c r="K120" s="61" t="s">
        <v>414</v>
      </c>
      <c r="L120" s="335" t="s">
        <v>415</v>
      </c>
      <c r="M120" s="264"/>
      <c r="N120" s="62" t="s">
        <v>301</v>
      </c>
      <c r="O120" s="280"/>
      <c r="P120" s="264"/>
      <c r="Q120" s="56"/>
      <c r="R120" s="57"/>
      <c r="S120" s="63" t="s">
        <v>148</v>
      </c>
      <c r="T120" s="64" t="s">
        <v>429</v>
      </c>
      <c r="U120" s="65" t="s">
        <v>417</v>
      </c>
      <c r="V120" s="66"/>
      <c r="W120" s="263"/>
      <c r="X120" s="264"/>
      <c r="Y120" s="67"/>
      <c r="Z120" s="35"/>
      <c r="AA120" s="299" t="s">
        <v>393</v>
      </c>
      <c r="AB120" s="272"/>
      <c r="AC120" s="273"/>
      <c r="AD120" s="251" t="s">
        <v>386</v>
      </c>
      <c r="AE120" s="249" t="s">
        <v>387</v>
      </c>
      <c r="AF120" s="251" t="s">
        <v>386</v>
      </c>
      <c r="AG120" s="249" t="s">
        <v>387</v>
      </c>
      <c r="AH120" s="251" t="s">
        <v>386</v>
      </c>
      <c r="AI120" s="249" t="s">
        <v>387</v>
      </c>
      <c r="AJ120" s="251" t="s">
        <v>386</v>
      </c>
      <c r="AK120" s="249" t="s">
        <v>387</v>
      </c>
      <c r="AL120" s="251" t="s">
        <v>386</v>
      </c>
      <c r="AM120" s="253"/>
      <c r="AN120" s="249" t="s">
        <v>387</v>
      </c>
      <c r="AO120" s="251" t="s">
        <v>386</v>
      </c>
      <c r="AP120" s="249" t="s">
        <v>387</v>
      </c>
      <c r="AQ120" s="251" t="s">
        <v>386</v>
      </c>
      <c r="AR120" s="249" t="s">
        <v>387</v>
      </c>
      <c r="AS120" s="251" t="s">
        <v>386</v>
      </c>
      <c r="AT120" s="249" t="s">
        <v>387</v>
      </c>
      <c r="AU120" s="251" t="s">
        <v>386</v>
      </c>
      <c r="AV120" s="249" t="s">
        <v>387</v>
      </c>
      <c r="AW120" s="251" t="s">
        <v>386</v>
      </c>
      <c r="AX120" s="257"/>
      <c r="AY120" s="35"/>
      <c r="AZ120" s="35"/>
      <c r="BA120" s="35"/>
      <c r="BB120" s="35"/>
    </row>
    <row r="121" spans="1:54" ht="15" customHeight="1" x14ac:dyDescent="0.25">
      <c r="A121" s="323"/>
      <c r="B121" s="76" t="s">
        <v>314</v>
      </c>
      <c r="C121" s="55">
        <v>6</v>
      </c>
      <c r="D121" s="280" t="s">
        <v>422</v>
      </c>
      <c r="E121" s="264"/>
      <c r="F121" s="56" t="s">
        <v>454</v>
      </c>
      <c r="G121" s="57" t="s">
        <v>301</v>
      </c>
      <c r="H121" s="72"/>
      <c r="I121" s="56"/>
      <c r="J121" s="73"/>
      <c r="K121" s="61" t="s">
        <v>414</v>
      </c>
      <c r="L121" s="335" t="s">
        <v>415</v>
      </c>
      <c r="M121" s="264"/>
      <c r="N121" s="62" t="s">
        <v>301</v>
      </c>
      <c r="O121" s="280"/>
      <c r="P121" s="264"/>
      <c r="Q121" s="56"/>
      <c r="R121" s="57"/>
      <c r="S121" s="63" t="s">
        <v>383</v>
      </c>
      <c r="T121" s="64" t="s">
        <v>306</v>
      </c>
      <c r="U121" s="65" t="s">
        <v>417</v>
      </c>
      <c r="V121" s="66"/>
      <c r="W121" s="263"/>
      <c r="X121" s="264"/>
      <c r="Y121" s="67"/>
      <c r="Z121" s="35"/>
      <c r="AA121" s="303"/>
      <c r="AB121" s="304"/>
      <c r="AC121" s="30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5"/>
      <c r="AS121" s="295"/>
      <c r="AT121" s="295"/>
      <c r="AU121" s="295"/>
      <c r="AV121" s="295"/>
      <c r="AW121" s="295"/>
      <c r="AX121" s="298"/>
      <c r="AY121" s="35"/>
      <c r="AZ121" s="35"/>
      <c r="BA121" s="35"/>
      <c r="BB121" s="35"/>
    </row>
    <row r="122" spans="1:54" ht="15" customHeight="1" x14ac:dyDescent="0.25">
      <c r="A122" s="323"/>
      <c r="B122" s="76" t="s">
        <v>321</v>
      </c>
      <c r="C122" s="55">
        <v>7</v>
      </c>
      <c r="D122" s="280" t="s">
        <v>422</v>
      </c>
      <c r="E122" s="264"/>
      <c r="F122" s="56" t="s">
        <v>454</v>
      </c>
      <c r="G122" s="57" t="s">
        <v>301</v>
      </c>
      <c r="H122" s="72"/>
      <c r="I122" s="56"/>
      <c r="J122" s="73"/>
      <c r="K122" s="61" t="s">
        <v>414</v>
      </c>
      <c r="L122" s="335" t="s">
        <v>415</v>
      </c>
      <c r="M122" s="264"/>
      <c r="N122" s="62" t="s">
        <v>301</v>
      </c>
      <c r="O122" s="280"/>
      <c r="P122" s="264"/>
      <c r="Q122" s="56"/>
      <c r="R122" s="57"/>
      <c r="S122" s="63" t="s">
        <v>383</v>
      </c>
      <c r="T122" s="64" t="s">
        <v>306</v>
      </c>
      <c r="U122" s="65" t="s">
        <v>417</v>
      </c>
      <c r="V122" s="66"/>
      <c r="W122" s="263"/>
      <c r="X122" s="264"/>
      <c r="Y122" s="67"/>
      <c r="Z122" s="35"/>
      <c r="AA122" s="139"/>
      <c r="AB122" s="35"/>
      <c r="AC122" s="35"/>
      <c r="AD122" s="139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</row>
    <row r="123" spans="1:54" ht="15" customHeight="1" x14ac:dyDescent="0.25">
      <c r="A123" s="323"/>
      <c r="B123" s="78" t="s">
        <v>324</v>
      </c>
      <c r="C123" s="75"/>
      <c r="D123" s="265"/>
      <c r="E123" s="266"/>
      <c r="F123" s="266"/>
      <c r="G123" s="283"/>
      <c r="H123" s="332" t="s">
        <v>325</v>
      </c>
      <c r="I123" s="266"/>
      <c r="J123" s="333"/>
      <c r="K123" s="339"/>
      <c r="L123" s="266"/>
      <c r="M123" s="266"/>
      <c r="N123" s="267"/>
      <c r="O123" s="265"/>
      <c r="P123" s="266"/>
      <c r="Q123" s="266"/>
      <c r="R123" s="283"/>
      <c r="S123" s="265" t="s">
        <v>325</v>
      </c>
      <c r="T123" s="266"/>
      <c r="U123" s="267"/>
      <c r="V123" s="268"/>
      <c r="W123" s="266"/>
      <c r="X123" s="266"/>
      <c r="Y123" s="267"/>
      <c r="Z123" s="35"/>
      <c r="AA123" s="140" t="s">
        <v>394</v>
      </c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35"/>
      <c r="AY123" s="35"/>
      <c r="AZ123" s="35"/>
      <c r="BA123" s="35"/>
      <c r="BB123" s="35"/>
    </row>
    <row r="124" spans="1:54" ht="15" customHeight="1" x14ac:dyDescent="0.25">
      <c r="A124" s="323"/>
      <c r="B124" s="76" t="s">
        <v>328</v>
      </c>
      <c r="C124" s="55">
        <v>8</v>
      </c>
      <c r="D124" s="280" t="s">
        <v>414</v>
      </c>
      <c r="E124" s="264"/>
      <c r="F124" s="56" t="s">
        <v>339</v>
      </c>
      <c r="G124" s="57" t="s">
        <v>301</v>
      </c>
      <c r="H124" s="58"/>
      <c r="I124" s="59"/>
      <c r="J124" s="60"/>
      <c r="K124" s="61" t="s">
        <v>422</v>
      </c>
      <c r="L124" s="335" t="s">
        <v>415</v>
      </c>
      <c r="M124" s="264"/>
      <c r="N124" s="62" t="s">
        <v>301</v>
      </c>
      <c r="O124" s="280"/>
      <c r="P124" s="264"/>
      <c r="Q124" s="56"/>
      <c r="R124" s="57"/>
      <c r="S124" s="63" t="s">
        <v>353</v>
      </c>
      <c r="T124" s="64" t="s">
        <v>435</v>
      </c>
      <c r="U124" s="62" t="s">
        <v>417</v>
      </c>
      <c r="V124" s="66"/>
      <c r="W124" s="263"/>
      <c r="X124" s="264"/>
      <c r="Y124" s="67"/>
      <c r="Z124" s="35"/>
      <c r="AA124" s="141" t="s">
        <v>395</v>
      </c>
      <c r="AB124" s="140" t="s">
        <v>396</v>
      </c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38"/>
      <c r="AP124" s="140"/>
      <c r="AQ124" s="140"/>
      <c r="AR124" s="140"/>
      <c r="AS124" s="140"/>
      <c r="AT124" s="140"/>
      <c r="AU124" s="140"/>
      <c r="AV124" s="140"/>
      <c r="AW124" s="140"/>
      <c r="AX124" s="35"/>
      <c r="AY124" s="35"/>
      <c r="AZ124" s="35"/>
      <c r="BA124" s="35"/>
      <c r="BB124" s="35"/>
    </row>
    <row r="125" spans="1:54" ht="15" customHeight="1" x14ac:dyDescent="0.25">
      <c r="A125" s="324"/>
      <c r="B125" s="138" t="s">
        <v>331</v>
      </c>
      <c r="C125" s="55">
        <v>9</v>
      </c>
      <c r="D125" s="287" t="s">
        <v>422</v>
      </c>
      <c r="E125" s="260"/>
      <c r="F125" s="80" t="s">
        <v>454</v>
      </c>
      <c r="G125" s="127" t="s">
        <v>301</v>
      </c>
      <c r="H125" s="82"/>
      <c r="I125" s="80"/>
      <c r="J125" s="127"/>
      <c r="K125" s="61" t="s">
        <v>414</v>
      </c>
      <c r="L125" s="335" t="s">
        <v>415</v>
      </c>
      <c r="M125" s="264"/>
      <c r="N125" s="85" t="s">
        <v>301</v>
      </c>
      <c r="O125" s="287"/>
      <c r="P125" s="260"/>
      <c r="Q125" s="80"/>
      <c r="R125" s="81"/>
      <c r="S125" s="128" t="s">
        <v>353</v>
      </c>
      <c r="T125" s="129" t="s">
        <v>435</v>
      </c>
      <c r="U125" s="85" t="s">
        <v>417</v>
      </c>
      <c r="V125" s="89"/>
      <c r="W125" s="259"/>
      <c r="X125" s="260"/>
      <c r="Y125" s="90"/>
      <c r="Z125" s="35"/>
      <c r="AA125" s="142"/>
      <c r="AB125" s="140" t="s">
        <v>397</v>
      </c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3"/>
      <c r="AP125" s="140"/>
      <c r="AQ125" s="140"/>
      <c r="AR125" s="140"/>
      <c r="AS125" s="140"/>
      <c r="AT125" s="140"/>
      <c r="AU125" s="140"/>
      <c r="AV125" s="140"/>
      <c r="AW125" s="140"/>
      <c r="AX125" s="35"/>
      <c r="AY125" s="35"/>
      <c r="AZ125" s="35"/>
      <c r="BA125" s="35"/>
      <c r="BB125" s="35"/>
    </row>
    <row r="126" spans="1:54" ht="15" customHeight="1" x14ac:dyDescent="0.25">
      <c r="A126" s="322" t="s">
        <v>400</v>
      </c>
      <c r="B126" s="91" t="s">
        <v>291</v>
      </c>
      <c r="C126" s="92">
        <v>1</v>
      </c>
      <c r="D126" s="288"/>
      <c r="E126" s="270"/>
      <c r="F126" s="99"/>
      <c r="G126" s="147"/>
      <c r="H126" s="183" t="s">
        <v>315</v>
      </c>
      <c r="I126" s="99" t="s">
        <v>452</v>
      </c>
      <c r="J126" s="146"/>
      <c r="K126" s="184"/>
      <c r="L126" s="338"/>
      <c r="M126" s="270"/>
      <c r="N126" s="171"/>
      <c r="O126" s="288"/>
      <c r="P126" s="270"/>
      <c r="Q126" s="99"/>
      <c r="R126" s="147"/>
      <c r="S126" s="98" t="s">
        <v>299</v>
      </c>
      <c r="T126" s="99" t="s">
        <v>423</v>
      </c>
      <c r="U126" s="100" t="s">
        <v>417</v>
      </c>
      <c r="V126" s="131"/>
      <c r="W126" s="261"/>
      <c r="X126" s="262"/>
      <c r="Y126" s="102"/>
      <c r="Z126" s="35"/>
      <c r="AA126" s="141" t="s">
        <v>398</v>
      </c>
      <c r="AB126" s="290" t="s">
        <v>399</v>
      </c>
      <c r="AC126" s="291"/>
      <c r="AD126" s="291"/>
      <c r="AE126" s="291"/>
      <c r="AF126" s="291"/>
      <c r="AG126" s="291"/>
      <c r="AH126" s="291"/>
      <c r="AI126" s="291"/>
      <c r="AJ126" s="291"/>
      <c r="AK126" s="291"/>
      <c r="AL126" s="291"/>
      <c r="AM126" s="291"/>
      <c r="AN126" s="291"/>
      <c r="AO126" s="291"/>
      <c r="AP126" s="291"/>
      <c r="AQ126" s="291"/>
      <c r="AR126" s="291"/>
      <c r="AS126" s="291"/>
      <c r="AT126" s="291"/>
      <c r="AU126" s="291"/>
      <c r="AV126" s="291"/>
      <c r="AW126" s="292"/>
      <c r="AX126" s="35"/>
      <c r="AY126" s="35"/>
      <c r="AZ126" s="35"/>
      <c r="BA126" s="35"/>
      <c r="BB126" s="35"/>
    </row>
    <row r="127" spans="1:54" ht="15" customHeight="1" x14ac:dyDescent="0.25">
      <c r="A127" s="323"/>
      <c r="B127" s="54" t="s">
        <v>295</v>
      </c>
      <c r="C127" s="55">
        <v>2</v>
      </c>
      <c r="D127" s="280" t="s">
        <v>422</v>
      </c>
      <c r="E127" s="264"/>
      <c r="F127" s="56" t="s">
        <v>454</v>
      </c>
      <c r="G127" s="57" t="s">
        <v>301</v>
      </c>
      <c r="H127" s="72"/>
      <c r="I127" s="56"/>
      <c r="J127" s="71"/>
      <c r="K127" s="61" t="s">
        <v>449</v>
      </c>
      <c r="L127" s="335" t="s">
        <v>316</v>
      </c>
      <c r="M127" s="264"/>
      <c r="N127" s="62" t="s">
        <v>301</v>
      </c>
      <c r="O127" s="280"/>
      <c r="P127" s="264"/>
      <c r="Q127" s="56"/>
      <c r="R127" s="57"/>
      <c r="S127" s="63" t="s">
        <v>299</v>
      </c>
      <c r="T127" s="64" t="s">
        <v>423</v>
      </c>
      <c r="U127" s="77" t="s">
        <v>417</v>
      </c>
      <c r="V127" s="132"/>
      <c r="W127" s="263"/>
      <c r="X127" s="264"/>
      <c r="Y127" s="67"/>
      <c r="Z127" s="35"/>
      <c r="AA127" s="142"/>
      <c r="AB127" s="293"/>
      <c r="AC127" s="278"/>
      <c r="AD127" s="278"/>
      <c r="AE127" s="278"/>
      <c r="AF127" s="278"/>
      <c r="AG127" s="278"/>
      <c r="AH127" s="278"/>
      <c r="AI127" s="278"/>
      <c r="AJ127" s="278"/>
      <c r="AK127" s="278"/>
      <c r="AL127" s="278"/>
      <c r="AM127" s="278"/>
      <c r="AN127" s="278"/>
      <c r="AO127" s="278"/>
      <c r="AP127" s="278"/>
      <c r="AQ127" s="278"/>
      <c r="AR127" s="278"/>
      <c r="AS127" s="278"/>
      <c r="AT127" s="278"/>
      <c r="AU127" s="278"/>
      <c r="AV127" s="278"/>
      <c r="AW127" s="294"/>
      <c r="AX127" s="35"/>
      <c r="AY127" s="35"/>
      <c r="AZ127" s="35"/>
      <c r="BA127" s="35"/>
      <c r="BB127" s="35"/>
    </row>
    <row r="128" spans="1:54" ht="15" customHeight="1" x14ac:dyDescent="0.25">
      <c r="A128" s="323"/>
      <c r="B128" s="54" t="s">
        <v>302</v>
      </c>
      <c r="C128" s="55">
        <v>3</v>
      </c>
      <c r="D128" s="280" t="s">
        <v>422</v>
      </c>
      <c r="E128" s="264"/>
      <c r="F128" s="56" t="s">
        <v>454</v>
      </c>
      <c r="G128" s="57" t="s">
        <v>301</v>
      </c>
      <c r="H128" s="69"/>
      <c r="I128" s="70"/>
      <c r="J128" s="73"/>
      <c r="K128" s="61" t="s">
        <v>449</v>
      </c>
      <c r="L128" s="335" t="s">
        <v>316</v>
      </c>
      <c r="M128" s="264"/>
      <c r="N128" s="62" t="s">
        <v>301</v>
      </c>
      <c r="O128" s="280"/>
      <c r="P128" s="264"/>
      <c r="Q128" s="56"/>
      <c r="R128" s="57"/>
      <c r="S128" s="63" t="s">
        <v>299</v>
      </c>
      <c r="T128" s="64" t="s">
        <v>423</v>
      </c>
      <c r="U128" s="62" t="s">
        <v>417</v>
      </c>
      <c r="V128" s="132"/>
      <c r="W128" s="263"/>
      <c r="X128" s="264"/>
      <c r="Y128" s="67"/>
      <c r="Z128" s="35"/>
      <c r="AA128" s="142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35"/>
      <c r="AY128" s="35"/>
      <c r="AZ128" s="35"/>
      <c r="BA128" s="35"/>
      <c r="BB128" s="35"/>
    </row>
    <row r="129" spans="1:54" ht="15" customHeight="1" x14ac:dyDescent="0.25">
      <c r="A129" s="323"/>
      <c r="B129" s="54" t="s">
        <v>305</v>
      </c>
      <c r="C129" s="55">
        <v>4</v>
      </c>
      <c r="D129" s="280" t="s">
        <v>414</v>
      </c>
      <c r="E129" s="264"/>
      <c r="F129" s="56" t="s">
        <v>339</v>
      </c>
      <c r="G129" s="57" t="s">
        <v>301</v>
      </c>
      <c r="H129" s="72"/>
      <c r="I129" s="56"/>
      <c r="J129" s="73"/>
      <c r="K129" s="61" t="s">
        <v>449</v>
      </c>
      <c r="L129" s="335" t="s">
        <v>316</v>
      </c>
      <c r="M129" s="264"/>
      <c r="N129" s="62" t="s">
        <v>301</v>
      </c>
      <c r="O129" s="280"/>
      <c r="P129" s="264"/>
      <c r="Q129" s="56"/>
      <c r="R129" s="57"/>
      <c r="S129" s="63" t="s">
        <v>299</v>
      </c>
      <c r="T129" s="64" t="s">
        <v>423</v>
      </c>
      <c r="U129" s="62" t="s">
        <v>417</v>
      </c>
      <c r="V129" s="66"/>
      <c r="W129" s="263"/>
      <c r="X129" s="264"/>
      <c r="Y129" s="67"/>
      <c r="Z129" s="35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35"/>
      <c r="AY129" s="35"/>
      <c r="AZ129" s="35"/>
      <c r="BA129" s="35"/>
      <c r="BB129" s="35"/>
    </row>
    <row r="130" spans="1:54" ht="15" customHeight="1" x14ac:dyDescent="0.25">
      <c r="A130" s="323"/>
      <c r="B130" s="78" t="s">
        <v>308</v>
      </c>
      <c r="C130" s="75"/>
      <c r="D130" s="265"/>
      <c r="E130" s="266"/>
      <c r="F130" s="266"/>
      <c r="G130" s="283"/>
      <c r="H130" s="332" t="s">
        <v>309</v>
      </c>
      <c r="I130" s="266"/>
      <c r="J130" s="333"/>
      <c r="K130" s="339"/>
      <c r="L130" s="266"/>
      <c r="M130" s="266"/>
      <c r="N130" s="267"/>
      <c r="O130" s="265"/>
      <c r="P130" s="266"/>
      <c r="Q130" s="266"/>
      <c r="R130" s="283"/>
      <c r="S130" s="265" t="s">
        <v>309</v>
      </c>
      <c r="T130" s="266"/>
      <c r="U130" s="267"/>
      <c r="V130" s="268"/>
      <c r="W130" s="266"/>
      <c r="X130" s="266"/>
      <c r="Y130" s="267"/>
      <c r="Z130" s="35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35"/>
      <c r="AY130" s="35"/>
      <c r="AZ130" s="35"/>
      <c r="BA130" s="35"/>
      <c r="BB130" s="35"/>
    </row>
    <row r="131" spans="1:54" ht="15" customHeight="1" x14ac:dyDescent="0.25">
      <c r="A131" s="323"/>
      <c r="B131" s="54" t="s">
        <v>311</v>
      </c>
      <c r="C131" s="55">
        <v>5</v>
      </c>
      <c r="D131" s="280" t="s">
        <v>414</v>
      </c>
      <c r="E131" s="264"/>
      <c r="F131" s="56" t="s">
        <v>339</v>
      </c>
      <c r="G131" s="57" t="s">
        <v>301</v>
      </c>
      <c r="H131" s="72"/>
      <c r="I131" s="56"/>
      <c r="J131" s="73"/>
      <c r="K131" s="61" t="s">
        <v>422</v>
      </c>
      <c r="L131" s="335" t="s">
        <v>415</v>
      </c>
      <c r="M131" s="264"/>
      <c r="N131" s="62" t="s">
        <v>301</v>
      </c>
      <c r="O131" s="280"/>
      <c r="P131" s="264"/>
      <c r="Q131" s="56"/>
      <c r="R131" s="57"/>
      <c r="S131" s="63" t="s">
        <v>438</v>
      </c>
      <c r="T131" s="64" t="s">
        <v>318</v>
      </c>
      <c r="U131" s="62" t="s">
        <v>417</v>
      </c>
      <c r="V131" s="66"/>
      <c r="W131" s="263"/>
      <c r="X131" s="264"/>
      <c r="Y131" s="67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8" t="s">
        <v>460</v>
      </c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</row>
    <row r="132" spans="1:54" ht="15" customHeight="1" x14ac:dyDescent="0.25">
      <c r="A132" s="324"/>
      <c r="B132" s="138" t="s">
        <v>314</v>
      </c>
      <c r="C132" s="144">
        <v>6</v>
      </c>
      <c r="D132" s="287" t="s">
        <v>414</v>
      </c>
      <c r="E132" s="260"/>
      <c r="F132" s="80" t="s">
        <v>339</v>
      </c>
      <c r="G132" s="81" t="s">
        <v>301</v>
      </c>
      <c r="H132" s="82"/>
      <c r="I132" s="80"/>
      <c r="J132" s="127"/>
      <c r="K132" s="84" t="s">
        <v>422</v>
      </c>
      <c r="L132" s="337" t="s">
        <v>415</v>
      </c>
      <c r="M132" s="260"/>
      <c r="N132" s="85" t="s">
        <v>301</v>
      </c>
      <c r="O132" s="287"/>
      <c r="P132" s="260"/>
      <c r="Q132" s="80"/>
      <c r="R132" s="81"/>
      <c r="S132" s="128" t="s">
        <v>438</v>
      </c>
      <c r="T132" s="129" t="s">
        <v>318</v>
      </c>
      <c r="U132" s="85" t="s">
        <v>417</v>
      </c>
      <c r="V132" s="89"/>
      <c r="W132" s="259"/>
      <c r="X132" s="260"/>
      <c r="Y132" s="90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143" t="s">
        <v>402</v>
      </c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</row>
    <row r="133" spans="1:54" ht="15" customHeight="1" x14ac:dyDescent="0.25">
      <c r="A133" s="325" t="s">
        <v>403</v>
      </c>
      <c r="B133" s="91" t="s">
        <v>291</v>
      </c>
      <c r="C133" s="92">
        <v>1</v>
      </c>
      <c r="D133" s="288"/>
      <c r="E133" s="270"/>
      <c r="F133" s="99"/>
      <c r="G133" s="147"/>
      <c r="H133" s="72" t="s">
        <v>315</v>
      </c>
      <c r="I133" s="56" t="s">
        <v>452</v>
      </c>
      <c r="J133" s="146" t="s">
        <v>417</v>
      </c>
      <c r="K133" s="184"/>
      <c r="L133" s="338"/>
      <c r="M133" s="270"/>
      <c r="N133" s="171"/>
      <c r="O133" s="288"/>
      <c r="P133" s="270"/>
      <c r="Q133" s="99"/>
      <c r="R133" s="147"/>
      <c r="S133" s="98" t="s">
        <v>357</v>
      </c>
      <c r="T133" s="130" t="s">
        <v>458</v>
      </c>
      <c r="U133" s="100" t="s">
        <v>417</v>
      </c>
      <c r="V133" s="150"/>
      <c r="W133" s="269"/>
      <c r="X133" s="270"/>
      <c r="Y133" s="151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143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</row>
    <row r="134" spans="1:54" ht="15" customHeight="1" x14ac:dyDescent="0.25">
      <c r="A134" s="323"/>
      <c r="B134" s="54" t="s">
        <v>295</v>
      </c>
      <c r="C134" s="55">
        <v>2</v>
      </c>
      <c r="D134" s="280"/>
      <c r="E134" s="264"/>
      <c r="F134" s="56"/>
      <c r="G134" s="57"/>
      <c r="H134" s="72" t="s">
        <v>315</v>
      </c>
      <c r="I134" s="56" t="s">
        <v>452</v>
      </c>
      <c r="J134" s="71" t="s">
        <v>417</v>
      </c>
      <c r="K134" s="185"/>
      <c r="L134" s="335"/>
      <c r="M134" s="264"/>
      <c r="N134" s="62"/>
      <c r="O134" s="280"/>
      <c r="P134" s="264"/>
      <c r="Q134" s="56"/>
      <c r="R134" s="57"/>
      <c r="S134" s="63" t="s">
        <v>357</v>
      </c>
      <c r="T134" s="64" t="s">
        <v>458</v>
      </c>
      <c r="U134" s="77" t="s">
        <v>417</v>
      </c>
      <c r="V134" s="132"/>
      <c r="W134" s="263"/>
      <c r="X134" s="264"/>
      <c r="Y134" s="67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143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</row>
    <row r="135" spans="1:54" ht="15" customHeight="1" x14ac:dyDescent="0.25">
      <c r="A135" s="323"/>
      <c r="B135" s="54" t="s">
        <v>302</v>
      </c>
      <c r="C135" s="55">
        <v>3</v>
      </c>
      <c r="D135" s="280"/>
      <c r="E135" s="264"/>
      <c r="F135" s="56"/>
      <c r="G135" s="57"/>
      <c r="H135" s="72" t="s">
        <v>315</v>
      </c>
      <c r="I135" s="56" t="s">
        <v>452</v>
      </c>
      <c r="J135" s="73" t="s">
        <v>417</v>
      </c>
      <c r="K135" s="185"/>
      <c r="L135" s="335"/>
      <c r="M135" s="264"/>
      <c r="N135" s="62"/>
      <c r="O135" s="280"/>
      <c r="P135" s="264"/>
      <c r="Q135" s="56"/>
      <c r="R135" s="57"/>
      <c r="S135" s="63" t="s">
        <v>357</v>
      </c>
      <c r="T135" s="64" t="s">
        <v>458</v>
      </c>
      <c r="U135" s="62" t="s">
        <v>417</v>
      </c>
      <c r="V135" s="132"/>
      <c r="W135" s="263"/>
      <c r="X135" s="264"/>
      <c r="Y135" s="67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143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</row>
    <row r="136" spans="1:54" ht="15" customHeight="1" x14ac:dyDescent="0.25">
      <c r="A136" s="323"/>
      <c r="B136" s="54" t="s">
        <v>305</v>
      </c>
      <c r="C136" s="55">
        <v>4</v>
      </c>
      <c r="D136" s="280"/>
      <c r="E136" s="264"/>
      <c r="F136" s="56"/>
      <c r="G136" s="57"/>
      <c r="H136" s="72" t="s">
        <v>404</v>
      </c>
      <c r="I136" s="56" t="s">
        <v>342</v>
      </c>
      <c r="J136" s="73" t="s">
        <v>417</v>
      </c>
      <c r="K136" s="61"/>
      <c r="L136" s="335"/>
      <c r="M136" s="264"/>
      <c r="N136" s="62"/>
      <c r="O136" s="280"/>
      <c r="P136" s="264"/>
      <c r="Q136" s="56"/>
      <c r="R136" s="57"/>
      <c r="S136" s="63" t="s">
        <v>341</v>
      </c>
      <c r="T136" s="64" t="s">
        <v>416</v>
      </c>
      <c r="U136" s="62" t="s">
        <v>417</v>
      </c>
      <c r="V136" s="66"/>
      <c r="W136" s="263"/>
      <c r="X136" s="264"/>
      <c r="Y136" s="67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143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</row>
    <row r="137" spans="1:54" ht="15" customHeight="1" x14ac:dyDescent="0.25">
      <c r="A137" s="323"/>
      <c r="B137" s="78" t="s">
        <v>308</v>
      </c>
      <c r="C137" s="75"/>
      <c r="D137" s="265"/>
      <c r="E137" s="266"/>
      <c r="F137" s="266"/>
      <c r="G137" s="283"/>
      <c r="H137" s="332" t="s">
        <v>309</v>
      </c>
      <c r="I137" s="266"/>
      <c r="J137" s="333"/>
      <c r="K137" s="339"/>
      <c r="L137" s="266"/>
      <c r="M137" s="266"/>
      <c r="N137" s="267"/>
      <c r="O137" s="265"/>
      <c r="P137" s="266"/>
      <c r="Q137" s="266"/>
      <c r="R137" s="283"/>
      <c r="S137" s="265" t="s">
        <v>309</v>
      </c>
      <c r="T137" s="266"/>
      <c r="U137" s="267"/>
      <c r="V137" s="268"/>
      <c r="W137" s="266"/>
      <c r="X137" s="266"/>
      <c r="Y137" s="267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152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</row>
    <row r="138" spans="1:54" ht="15" customHeight="1" x14ac:dyDescent="0.25">
      <c r="A138" s="323"/>
      <c r="B138" s="76" t="s">
        <v>311</v>
      </c>
      <c r="C138" s="55">
        <v>5</v>
      </c>
      <c r="D138" s="280"/>
      <c r="E138" s="264"/>
      <c r="F138" s="56"/>
      <c r="G138" s="57"/>
      <c r="H138" s="72" t="s">
        <v>404</v>
      </c>
      <c r="I138" s="56" t="s">
        <v>342</v>
      </c>
      <c r="J138" s="73" t="s">
        <v>417</v>
      </c>
      <c r="K138" s="61"/>
      <c r="L138" s="335"/>
      <c r="M138" s="264"/>
      <c r="N138" s="62"/>
      <c r="O138" s="280"/>
      <c r="P138" s="264"/>
      <c r="Q138" s="56"/>
      <c r="R138" s="57"/>
      <c r="S138" s="63" t="s">
        <v>341</v>
      </c>
      <c r="T138" s="64" t="s">
        <v>416</v>
      </c>
      <c r="U138" s="62" t="s">
        <v>417</v>
      </c>
      <c r="V138" s="66"/>
      <c r="W138" s="263"/>
      <c r="X138" s="264"/>
      <c r="Y138" s="67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8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</row>
    <row r="139" spans="1:54" ht="15" customHeight="1" x14ac:dyDescent="0.25">
      <c r="A139" s="323"/>
      <c r="B139" s="76" t="s">
        <v>314</v>
      </c>
      <c r="C139" s="55">
        <v>6</v>
      </c>
      <c r="D139" s="280"/>
      <c r="E139" s="264"/>
      <c r="F139" s="56"/>
      <c r="G139" s="57"/>
      <c r="H139" s="72" t="s">
        <v>404</v>
      </c>
      <c r="I139" s="56" t="s">
        <v>342</v>
      </c>
      <c r="J139" s="73" t="s">
        <v>417</v>
      </c>
      <c r="K139" s="61"/>
      <c r="L139" s="335"/>
      <c r="M139" s="264"/>
      <c r="N139" s="62"/>
      <c r="O139" s="280"/>
      <c r="P139" s="264"/>
      <c r="Q139" s="56"/>
      <c r="R139" s="57"/>
      <c r="S139" s="63" t="s">
        <v>148</v>
      </c>
      <c r="T139" s="64" t="s">
        <v>429</v>
      </c>
      <c r="U139" s="62" t="s">
        <v>417</v>
      </c>
      <c r="V139" s="66"/>
      <c r="W139" s="263"/>
      <c r="X139" s="264"/>
      <c r="Y139" s="67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143" t="s">
        <v>461</v>
      </c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</row>
    <row r="140" spans="1:54" ht="15" customHeight="1" x14ac:dyDescent="0.25">
      <c r="A140" s="326"/>
      <c r="B140" s="153" t="s">
        <v>321</v>
      </c>
      <c r="C140" s="154">
        <v>7</v>
      </c>
      <c r="D140" s="281"/>
      <c r="E140" s="282"/>
      <c r="F140" s="156"/>
      <c r="G140" s="160"/>
      <c r="H140" s="155" t="s">
        <v>404</v>
      </c>
      <c r="I140" s="156" t="s">
        <v>342</v>
      </c>
      <c r="J140" s="157" t="s">
        <v>417</v>
      </c>
      <c r="K140" s="158"/>
      <c r="L140" s="336"/>
      <c r="M140" s="282"/>
      <c r="N140" s="159"/>
      <c r="O140" s="281"/>
      <c r="P140" s="282"/>
      <c r="Q140" s="156"/>
      <c r="R140" s="160"/>
      <c r="S140" s="161" t="s">
        <v>148</v>
      </c>
      <c r="T140" s="162" t="s">
        <v>429</v>
      </c>
      <c r="U140" s="159" t="s">
        <v>417</v>
      </c>
      <c r="V140" s="163"/>
      <c r="W140" s="284"/>
      <c r="X140" s="282"/>
      <c r="Y140" s="164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143" t="s">
        <v>462</v>
      </c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</row>
    <row r="141" spans="1:54" ht="1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</row>
    <row r="142" spans="1:54" ht="15" customHeight="1" x14ac:dyDescent="0.25">
      <c r="A142" s="377" t="s">
        <v>260</v>
      </c>
      <c r="B142" s="291"/>
      <c r="C142" s="291"/>
      <c r="D142" s="291"/>
      <c r="E142" s="291"/>
      <c r="F142" s="291"/>
      <c r="G142" s="291"/>
      <c r="H142" s="291"/>
      <c r="I142" s="291"/>
      <c r="J142" s="291"/>
      <c r="K142" s="291"/>
      <c r="L142" s="291"/>
      <c r="M142" s="291"/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  <c r="AA142" s="291"/>
      <c r="AB142" s="291"/>
      <c r="AC142" s="291"/>
      <c r="AD142" s="291"/>
      <c r="AE142" s="291"/>
      <c r="AF142" s="291"/>
      <c r="AG142" s="291"/>
      <c r="AH142" s="291"/>
      <c r="AI142" s="291"/>
      <c r="AJ142" s="291"/>
      <c r="AK142" s="291"/>
      <c r="AL142" s="291"/>
      <c r="AM142" s="291"/>
      <c r="AN142" s="291"/>
      <c r="AO142" s="291"/>
      <c r="AP142" s="291"/>
      <c r="AQ142" s="291"/>
      <c r="AR142" s="291"/>
      <c r="AS142" s="291"/>
      <c r="AT142" s="291"/>
      <c r="AU142" s="291"/>
      <c r="AV142" s="291"/>
      <c r="AW142" s="291"/>
      <c r="AX142" s="292"/>
      <c r="AY142" s="35"/>
      <c r="AZ142" s="35"/>
      <c r="BA142" s="35"/>
      <c r="BB142" s="35"/>
    </row>
    <row r="143" spans="1:54" ht="15" customHeight="1" x14ac:dyDescent="0.25">
      <c r="A143" s="293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  <c r="AK143" s="278"/>
      <c r="AL143" s="278"/>
      <c r="AM143" s="278"/>
      <c r="AN143" s="278"/>
      <c r="AO143" s="278"/>
      <c r="AP143" s="278"/>
      <c r="AQ143" s="278"/>
      <c r="AR143" s="278"/>
      <c r="AS143" s="278"/>
      <c r="AT143" s="278"/>
      <c r="AU143" s="278"/>
      <c r="AV143" s="278"/>
      <c r="AW143" s="278"/>
      <c r="AX143" s="294"/>
      <c r="AY143" s="35"/>
      <c r="AZ143" s="35"/>
      <c r="BA143" s="35"/>
      <c r="BB143" s="35"/>
    </row>
    <row r="144" spans="1:54" ht="1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7" t="s">
        <v>407</v>
      </c>
      <c r="L144" s="35"/>
      <c r="M144" s="36"/>
      <c r="N144" s="36"/>
      <c r="O144" s="36"/>
      <c r="P144" s="36"/>
      <c r="Q144" s="36"/>
      <c r="R144" s="36"/>
      <c r="S144" s="38" t="str">
        <f t="shared" ref="S144:S145" si="1">S4</f>
        <v>:  Pengembangan Perangkat Lunak dan GIM</v>
      </c>
      <c r="T144" s="36"/>
      <c r="U144" s="36"/>
      <c r="V144" s="36"/>
      <c r="W144" s="36"/>
      <c r="X144" s="36"/>
      <c r="Y144" s="36"/>
      <c r="Z144" s="36"/>
      <c r="AA144" s="36"/>
      <c r="AB144" s="35"/>
      <c r="AC144" s="35"/>
      <c r="AD144" s="38" t="s">
        <v>263</v>
      </c>
      <c r="AE144" s="36"/>
      <c r="AF144" s="36"/>
      <c r="AG144" s="38" t="s">
        <v>463</v>
      </c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5"/>
      <c r="AZ144" s="35"/>
      <c r="BA144" s="35"/>
      <c r="BB144" s="35"/>
    </row>
    <row r="145" spans="1:54" ht="1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7" t="s">
        <v>409</v>
      </c>
      <c r="L145" s="35"/>
      <c r="M145" s="36"/>
      <c r="N145" s="36"/>
      <c r="O145" s="36"/>
      <c r="P145" s="36"/>
      <c r="Q145" s="36"/>
      <c r="R145" s="36"/>
      <c r="S145" s="38" t="str">
        <f t="shared" si="1"/>
        <v>:  Teknik Komputer dan Informatika</v>
      </c>
      <c r="T145" s="36"/>
      <c r="U145" s="36"/>
      <c r="V145" s="36"/>
      <c r="W145" s="36"/>
      <c r="X145" s="36"/>
      <c r="Y145" s="36"/>
      <c r="Z145" s="35"/>
      <c r="AA145" s="35"/>
      <c r="AB145" s="35"/>
      <c r="AC145" s="35"/>
      <c r="AD145" s="38" t="s">
        <v>267</v>
      </c>
      <c r="AE145" s="35"/>
      <c r="AF145" s="35"/>
      <c r="AG145" s="38" t="str">
        <f>AG5</f>
        <v>:  2021/2022</v>
      </c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</row>
    <row r="146" spans="1:54" ht="15" customHeight="1" x14ac:dyDescent="0.25">
      <c r="A146" s="35"/>
      <c r="B146" s="38"/>
      <c r="C146" s="38"/>
      <c r="D146" s="38"/>
      <c r="E146" s="35"/>
      <c r="F146" s="38"/>
      <c r="G146" s="38"/>
      <c r="H146" s="38"/>
      <c r="I146" s="38"/>
      <c r="J146" s="35"/>
      <c r="K146" s="35"/>
      <c r="L146" s="35"/>
      <c r="M146" s="35"/>
      <c r="N146" s="35"/>
      <c r="O146" s="35"/>
      <c r="P146" s="35"/>
      <c r="Q146" s="35"/>
      <c r="R146" s="35"/>
      <c r="S146" s="38"/>
      <c r="T146" s="35"/>
      <c r="U146" s="38"/>
      <c r="V146" s="38"/>
      <c r="W146" s="35"/>
      <c r="X146" s="35"/>
      <c r="Y146" s="38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</row>
    <row r="147" spans="1:54" ht="15" customHeight="1" x14ac:dyDescent="0.25">
      <c r="A147" s="39" t="s">
        <v>269</v>
      </c>
      <c r="B147" s="38"/>
      <c r="C147" s="38"/>
      <c r="D147" s="38"/>
      <c r="E147" s="35"/>
      <c r="F147" s="38"/>
      <c r="G147" s="38"/>
      <c r="H147" s="38"/>
      <c r="I147" s="38"/>
      <c r="J147" s="35"/>
      <c r="K147" s="35"/>
      <c r="L147" s="35"/>
      <c r="M147" s="35"/>
      <c r="N147" s="35"/>
      <c r="O147" s="35"/>
      <c r="P147" s="35"/>
      <c r="Q147" s="35"/>
      <c r="R147" s="35"/>
      <c r="S147" s="38"/>
      <c r="T147" s="35"/>
      <c r="U147" s="38"/>
      <c r="V147" s="38"/>
      <c r="W147" s="35"/>
      <c r="X147" s="35"/>
      <c r="Y147" s="38"/>
      <c r="Z147" s="35"/>
      <c r="AA147" s="39" t="s">
        <v>270</v>
      </c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40" t="s">
        <v>410</v>
      </c>
      <c r="AY147" s="35"/>
      <c r="AZ147" s="35"/>
      <c r="BA147" s="35"/>
      <c r="BB147" s="35"/>
    </row>
    <row r="148" spans="1:54" ht="3.75" customHeight="1" x14ac:dyDescent="0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</row>
    <row r="149" spans="1:54" ht="38.25" customHeight="1" x14ac:dyDescent="0.25">
      <c r="A149" s="41"/>
      <c r="B149" s="42"/>
      <c r="C149" s="42"/>
      <c r="D149" s="389" t="s">
        <v>272</v>
      </c>
      <c r="E149" s="379"/>
      <c r="F149" s="379"/>
      <c r="G149" s="379"/>
      <c r="H149" s="379"/>
      <c r="I149" s="379"/>
      <c r="J149" s="379"/>
      <c r="K149" s="379"/>
      <c r="L149" s="379"/>
      <c r="M149" s="379"/>
      <c r="N149" s="380"/>
      <c r="O149" s="389" t="s">
        <v>273</v>
      </c>
      <c r="P149" s="379"/>
      <c r="Q149" s="379"/>
      <c r="R149" s="379"/>
      <c r="S149" s="379"/>
      <c r="T149" s="379"/>
      <c r="U149" s="380"/>
      <c r="V149" s="43"/>
      <c r="W149" s="43"/>
      <c r="X149" s="43"/>
      <c r="Y149" s="44"/>
      <c r="Z149" s="35"/>
      <c r="AA149" s="327" t="s">
        <v>274</v>
      </c>
      <c r="AB149" s="360" t="s">
        <v>275</v>
      </c>
      <c r="AC149" s="361"/>
      <c r="AD149" s="360" t="s">
        <v>276</v>
      </c>
      <c r="AE149" s="365"/>
      <c r="AF149" s="365"/>
      <c r="AG149" s="365"/>
      <c r="AH149" s="365"/>
      <c r="AI149" s="365"/>
      <c r="AJ149" s="365"/>
      <c r="AK149" s="361"/>
      <c r="AL149" s="378" t="s">
        <v>277</v>
      </c>
      <c r="AM149" s="379"/>
      <c r="AN149" s="379"/>
      <c r="AO149" s="379"/>
      <c r="AP149" s="379"/>
      <c r="AQ149" s="379"/>
      <c r="AR149" s="379"/>
      <c r="AS149" s="379"/>
      <c r="AT149" s="379"/>
      <c r="AU149" s="379"/>
      <c r="AV149" s="379"/>
      <c r="AW149" s="379"/>
      <c r="AX149" s="380"/>
      <c r="AY149" s="35"/>
      <c r="AZ149" s="35"/>
      <c r="BA149" s="35"/>
      <c r="BB149" s="35"/>
    </row>
    <row r="150" spans="1:54" ht="12.75" customHeight="1" x14ac:dyDescent="0.25">
      <c r="A150" s="327" t="s">
        <v>278</v>
      </c>
      <c r="B150" s="329" t="s">
        <v>279</v>
      </c>
      <c r="C150" s="330" t="s">
        <v>280</v>
      </c>
      <c r="D150" s="358" t="s">
        <v>281</v>
      </c>
      <c r="E150" s="351"/>
      <c r="F150" s="351"/>
      <c r="G150" s="352"/>
      <c r="H150" s="359" t="s">
        <v>282</v>
      </c>
      <c r="I150" s="351"/>
      <c r="J150" s="352"/>
      <c r="K150" s="359" t="s">
        <v>283</v>
      </c>
      <c r="L150" s="351"/>
      <c r="M150" s="351"/>
      <c r="N150" s="368"/>
      <c r="O150" s="358" t="s">
        <v>284</v>
      </c>
      <c r="P150" s="351"/>
      <c r="Q150" s="351"/>
      <c r="R150" s="352"/>
      <c r="S150" s="359" t="s">
        <v>282</v>
      </c>
      <c r="T150" s="351"/>
      <c r="U150" s="368"/>
      <c r="V150" s="367" t="s">
        <v>285</v>
      </c>
      <c r="W150" s="351"/>
      <c r="X150" s="351"/>
      <c r="Y150" s="368"/>
      <c r="Z150" s="35"/>
      <c r="AA150" s="323"/>
      <c r="AB150" s="362"/>
      <c r="AC150" s="276"/>
      <c r="AD150" s="362"/>
      <c r="AE150" s="275"/>
      <c r="AF150" s="275"/>
      <c r="AG150" s="275"/>
      <c r="AH150" s="275"/>
      <c r="AI150" s="275"/>
      <c r="AJ150" s="275"/>
      <c r="AK150" s="276"/>
      <c r="AL150" s="369" t="s">
        <v>286</v>
      </c>
      <c r="AM150" s="272"/>
      <c r="AN150" s="273"/>
      <c r="AO150" s="370" t="s">
        <v>287</v>
      </c>
      <c r="AP150" s="272"/>
      <c r="AQ150" s="272"/>
      <c r="AR150" s="272"/>
      <c r="AS150" s="272"/>
      <c r="AT150" s="272"/>
      <c r="AU150" s="272"/>
      <c r="AV150" s="272"/>
      <c r="AW150" s="272"/>
      <c r="AX150" s="371"/>
      <c r="AY150" s="35"/>
      <c r="AZ150" s="35"/>
      <c r="BA150" s="35"/>
      <c r="BB150" s="35"/>
    </row>
    <row r="151" spans="1:54" ht="28.5" customHeight="1" x14ac:dyDescent="0.25">
      <c r="A151" s="328"/>
      <c r="B151" s="254"/>
      <c r="C151" s="258"/>
      <c r="D151" s="373" t="s">
        <v>288</v>
      </c>
      <c r="E151" s="374"/>
      <c r="F151" s="45" t="s">
        <v>275</v>
      </c>
      <c r="G151" s="46" t="s">
        <v>289</v>
      </c>
      <c r="H151" s="47" t="s">
        <v>288</v>
      </c>
      <c r="I151" s="45" t="s">
        <v>275</v>
      </c>
      <c r="J151" s="46" t="s">
        <v>289</v>
      </c>
      <c r="K151" s="47" t="s">
        <v>288</v>
      </c>
      <c r="L151" s="375" t="s">
        <v>275</v>
      </c>
      <c r="M151" s="374"/>
      <c r="N151" s="48" t="s">
        <v>289</v>
      </c>
      <c r="O151" s="373" t="s">
        <v>288</v>
      </c>
      <c r="P151" s="374"/>
      <c r="Q151" s="45" t="s">
        <v>275</v>
      </c>
      <c r="R151" s="46" t="s">
        <v>289</v>
      </c>
      <c r="S151" s="47" t="s">
        <v>288</v>
      </c>
      <c r="T151" s="45" t="s">
        <v>275</v>
      </c>
      <c r="U151" s="48" t="s">
        <v>289</v>
      </c>
      <c r="V151" s="49" t="s">
        <v>288</v>
      </c>
      <c r="W151" s="376" t="s">
        <v>275</v>
      </c>
      <c r="X151" s="374"/>
      <c r="Y151" s="50" t="s">
        <v>289</v>
      </c>
      <c r="Z151" s="35"/>
      <c r="AA151" s="328"/>
      <c r="AB151" s="363"/>
      <c r="AC151" s="364"/>
      <c r="AD151" s="363"/>
      <c r="AE151" s="366"/>
      <c r="AF151" s="366"/>
      <c r="AG151" s="366"/>
      <c r="AH151" s="366"/>
      <c r="AI151" s="366"/>
      <c r="AJ151" s="366"/>
      <c r="AK151" s="364"/>
      <c r="AL151" s="363"/>
      <c r="AM151" s="366"/>
      <c r="AN151" s="364"/>
      <c r="AO151" s="363"/>
      <c r="AP151" s="366"/>
      <c r="AQ151" s="366"/>
      <c r="AR151" s="366"/>
      <c r="AS151" s="366"/>
      <c r="AT151" s="366"/>
      <c r="AU151" s="366"/>
      <c r="AV151" s="366"/>
      <c r="AW151" s="366"/>
      <c r="AX151" s="372"/>
      <c r="AY151" s="35"/>
      <c r="AZ151" s="35"/>
      <c r="BA151" s="35"/>
      <c r="BB151" s="35"/>
    </row>
    <row r="152" spans="1:54" ht="15" customHeight="1" x14ac:dyDescent="0.25">
      <c r="A152" s="331" t="s">
        <v>290</v>
      </c>
      <c r="B152" s="51" t="s">
        <v>291</v>
      </c>
      <c r="C152" s="52">
        <v>1</v>
      </c>
      <c r="D152" s="402" t="s">
        <v>292</v>
      </c>
      <c r="E152" s="346"/>
      <c r="F152" s="346"/>
      <c r="G152" s="403"/>
      <c r="H152" s="406" t="s">
        <v>293</v>
      </c>
      <c r="I152" s="346"/>
      <c r="J152" s="403"/>
      <c r="K152" s="406" t="s">
        <v>294</v>
      </c>
      <c r="L152" s="346"/>
      <c r="M152" s="346"/>
      <c r="N152" s="347"/>
      <c r="O152" s="402" t="s">
        <v>292</v>
      </c>
      <c r="P152" s="346"/>
      <c r="Q152" s="346"/>
      <c r="R152" s="407"/>
      <c r="S152" s="402" t="s">
        <v>293</v>
      </c>
      <c r="T152" s="346"/>
      <c r="U152" s="347"/>
      <c r="V152" s="345" t="s">
        <v>294</v>
      </c>
      <c r="W152" s="346"/>
      <c r="X152" s="346"/>
      <c r="Y152" s="347"/>
      <c r="Z152" s="35"/>
      <c r="AA152" s="53">
        <v>1</v>
      </c>
      <c r="AB152" s="308" t="s">
        <v>411</v>
      </c>
      <c r="AC152" s="309"/>
      <c r="AD152" s="348" t="s">
        <v>412</v>
      </c>
      <c r="AE152" s="349"/>
      <c r="AF152" s="349"/>
      <c r="AG152" s="349"/>
      <c r="AH152" s="349"/>
      <c r="AI152" s="349"/>
      <c r="AJ152" s="349"/>
      <c r="AK152" s="309"/>
      <c r="AL152" s="308" t="s">
        <v>357</v>
      </c>
      <c r="AM152" s="349"/>
      <c r="AN152" s="309"/>
      <c r="AO152" s="348" t="s">
        <v>413</v>
      </c>
      <c r="AP152" s="349"/>
      <c r="AQ152" s="349"/>
      <c r="AR152" s="349"/>
      <c r="AS152" s="349"/>
      <c r="AT152" s="349"/>
      <c r="AU152" s="349"/>
      <c r="AV152" s="349"/>
      <c r="AW152" s="349"/>
      <c r="AX152" s="398"/>
      <c r="AY152" s="35"/>
      <c r="AZ152" s="35"/>
      <c r="BA152" s="35"/>
      <c r="BB152" s="35"/>
    </row>
    <row r="153" spans="1:54" ht="15" customHeight="1" x14ac:dyDescent="0.25">
      <c r="A153" s="323"/>
      <c r="B153" s="54" t="s">
        <v>295</v>
      </c>
      <c r="C153" s="55">
        <v>2</v>
      </c>
      <c r="D153" s="280" t="s">
        <v>422</v>
      </c>
      <c r="E153" s="264"/>
      <c r="F153" s="56" t="s">
        <v>454</v>
      </c>
      <c r="G153" s="57" t="s">
        <v>301</v>
      </c>
      <c r="H153" s="58"/>
      <c r="I153" s="59"/>
      <c r="J153" s="60"/>
      <c r="K153" s="61" t="s">
        <v>449</v>
      </c>
      <c r="L153" s="335" t="s">
        <v>464</v>
      </c>
      <c r="M153" s="264"/>
      <c r="N153" s="62" t="s">
        <v>301</v>
      </c>
      <c r="O153" s="280"/>
      <c r="P153" s="264"/>
      <c r="Q153" s="56"/>
      <c r="R153" s="57"/>
      <c r="S153" s="165" t="s">
        <v>341</v>
      </c>
      <c r="T153" s="166" t="s">
        <v>465</v>
      </c>
      <c r="U153" s="65" t="s">
        <v>466</v>
      </c>
      <c r="V153" s="66"/>
      <c r="W153" s="263"/>
      <c r="X153" s="264"/>
      <c r="Y153" s="67"/>
      <c r="Z153" s="35"/>
      <c r="AA153" s="68">
        <v>2</v>
      </c>
      <c r="AB153" s="310" t="s">
        <v>467</v>
      </c>
      <c r="AC153" s="243"/>
      <c r="AD153" s="340" t="s">
        <v>468</v>
      </c>
      <c r="AE153" s="242"/>
      <c r="AF153" s="242"/>
      <c r="AG153" s="242"/>
      <c r="AH153" s="242"/>
      <c r="AI153" s="242"/>
      <c r="AJ153" s="242"/>
      <c r="AK153" s="243"/>
      <c r="AL153" s="310" t="s">
        <v>357</v>
      </c>
      <c r="AM153" s="242"/>
      <c r="AN153" s="243"/>
      <c r="AO153" s="340" t="s">
        <v>420</v>
      </c>
      <c r="AP153" s="242"/>
      <c r="AQ153" s="242"/>
      <c r="AR153" s="242"/>
      <c r="AS153" s="242"/>
      <c r="AT153" s="242"/>
      <c r="AU153" s="242"/>
      <c r="AV153" s="242"/>
      <c r="AW153" s="242"/>
      <c r="AX153" s="385"/>
      <c r="AY153" s="35"/>
      <c r="AZ153" s="35"/>
      <c r="BA153" s="35"/>
      <c r="BB153" s="35"/>
    </row>
    <row r="154" spans="1:54" ht="15" customHeight="1" x14ac:dyDescent="0.25">
      <c r="A154" s="323"/>
      <c r="B154" s="54" t="s">
        <v>302</v>
      </c>
      <c r="C154" s="55">
        <v>3</v>
      </c>
      <c r="D154" s="280" t="s">
        <v>422</v>
      </c>
      <c r="E154" s="264"/>
      <c r="F154" s="56" t="s">
        <v>454</v>
      </c>
      <c r="G154" s="57" t="s">
        <v>301</v>
      </c>
      <c r="H154" s="58"/>
      <c r="I154" s="59"/>
      <c r="J154" s="60"/>
      <c r="K154" s="61" t="s">
        <v>449</v>
      </c>
      <c r="L154" s="335" t="s">
        <v>464</v>
      </c>
      <c r="M154" s="264"/>
      <c r="N154" s="62" t="s">
        <v>301</v>
      </c>
      <c r="O154" s="280"/>
      <c r="P154" s="264"/>
      <c r="Q154" s="56"/>
      <c r="R154" s="57"/>
      <c r="S154" s="63" t="s">
        <v>341</v>
      </c>
      <c r="T154" s="64" t="s">
        <v>465</v>
      </c>
      <c r="U154" s="65" t="s">
        <v>466</v>
      </c>
      <c r="V154" s="66"/>
      <c r="W154" s="263"/>
      <c r="X154" s="264"/>
      <c r="Y154" s="67"/>
      <c r="Z154" s="35"/>
      <c r="AA154" s="68">
        <v>3</v>
      </c>
      <c r="AB154" s="310" t="s">
        <v>303</v>
      </c>
      <c r="AC154" s="243"/>
      <c r="AD154" s="340" t="s">
        <v>304</v>
      </c>
      <c r="AE154" s="242"/>
      <c r="AF154" s="242"/>
      <c r="AG154" s="242"/>
      <c r="AH154" s="242"/>
      <c r="AI154" s="242"/>
      <c r="AJ154" s="242"/>
      <c r="AK154" s="243"/>
      <c r="AL154" s="310" t="s">
        <v>357</v>
      </c>
      <c r="AM154" s="242"/>
      <c r="AN154" s="243"/>
      <c r="AO154" s="340" t="s">
        <v>421</v>
      </c>
      <c r="AP154" s="242"/>
      <c r="AQ154" s="242"/>
      <c r="AR154" s="242"/>
      <c r="AS154" s="242"/>
      <c r="AT154" s="242"/>
      <c r="AU154" s="242"/>
      <c r="AV154" s="242"/>
      <c r="AW154" s="242"/>
      <c r="AX154" s="385"/>
      <c r="AY154" s="35"/>
      <c r="AZ154" s="35"/>
      <c r="BA154" s="35"/>
      <c r="BB154" s="35"/>
    </row>
    <row r="155" spans="1:54" ht="15" customHeight="1" x14ac:dyDescent="0.25">
      <c r="A155" s="323"/>
      <c r="B155" s="54" t="s">
        <v>305</v>
      </c>
      <c r="C155" s="55">
        <v>4</v>
      </c>
      <c r="D155" s="280" t="s">
        <v>422</v>
      </c>
      <c r="E155" s="264"/>
      <c r="F155" s="56" t="s">
        <v>454</v>
      </c>
      <c r="G155" s="57" t="s">
        <v>301</v>
      </c>
      <c r="H155" s="58"/>
      <c r="I155" s="59"/>
      <c r="J155" s="60"/>
      <c r="K155" s="61" t="s">
        <v>449</v>
      </c>
      <c r="L155" s="335" t="s">
        <v>464</v>
      </c>
      <c r="M155" s="264"/>
      <c r="N155" s="62" t="s">
        <v>301</v>
      </c>
      <c r="O155" s="280"/>
      <c r="P155" s="264"/>
      <c r="Q155" s="56"/>
      <c r="R155" s="57"/>
      <c r="S155" s="63" t="s">
        <v>299</v>
      </c>
      <c r="T155" s="64" t="s">
        <v>423</v>
      </c>
      <c r="U155" s="65" t="s">
        <v>466</v>
      </c>
      <c r="V155" s="66"/>
      <c r="W155" s="263"/>
      <c r="X155" s="264"/>
      <c r="Y155" s="67"/>
      <c r="Z155" s="35"/>
      <c r="AA155" s="68">
        <v>4</v>
      </c>
      <c r="AB155" s="310" t="s">
        <v>424</v>
      </c>
      <c r="AC155" s="243"/>
      <c r="AD155" s="340" t="s">
        <v>425</v>
      </c>
      <c r="AE155" s="242"/>
      <c r="AF155" s="242"/>
      <c r="AG155" s="242"/>
      <c r="AH155" s="242"/>
      <c r="AI155" s="242"/>
      <c r="AJ155" s="242"/>
      <c r="AK155" s="243"/>
      <c r="AL155" s="310" t="s">
        <v>335</v>
      </c>
      <c r="AM155" s="242"/>
      <c r="AN155" s="243"/>
      <c r="AO155" s="340" t="s">
        <v>426</v>
      </c>
      <c r="AP155" s="242"/>
      <c r="AQ155" s="242"/>
      <c r="AR155" s="242"/>
      <c r="AS155" s="242"/>
      <c r="AT155" s="242"/>
      <c r="AU155" s="242"/>
      <c r="AV155" s="242"/>
      <c r="AW155" s="242"/>
      <c r="AX155" s="385"/>
      <c r="AY155" s="35"/>
      <c r="AZ155" s="35"/>
      <c r="BA155" s="35"/>
      <c r="BB155" s="35"/>
    </row>
    <row r="156" spans="1:54" ht="15" customHeight="1" x14ac:dyDescent="0.25">
      <c r="A156" s="323"/>
      <c r="B156" s="74" t="s">
        <v>308</v>
      </c>
      <c r="C156" s="75"/>
      <c r="D156" s="280"/>
      <c r="E156" s="266"/>
      <c r="F156" s="266"/>
      <c r="G156" s="283"/>
      <c r="H156" s="332" t="s">
        <v>309</v>
      </c>
      <c r="I156" s="266"/>
      <c r="J156" s="333"/>
      <c r="K156" s="334"/>
      <c r="L156" s="266"/>
      <c r="M156" s="266"/>
      <c r="N156" s="267"/>
      <c r="O156" s="265"/>
      <c r="P156" s="266"/>
      <c r="Q156" s="266"/>
      <c r="R156" s="283"/>
      <c r="S156" s="265" t="s">
        <v>309</v>
      </c>
      <c r="T156" s="266"/>
      <c r="U156" s="267"/>
      <c r="V156" s="268"/>
      <c r="W156" s="266"/>
      <c r="X156" s="266"/>
      <c r="Y156" s="267"/>
      <c r="Z156" s="35"/>
      <c r="AA156" s="68">
        <v>5</v>
      </c>
      <c r="AB156" s="310" t="s">
        <v>423</v>
      </c>
      <c r="AC156" s="243"/>
      <c r="AD156" s="340" t="s">
        <v>427</v>
      </c>
      <c r="AE156" s="242"/>
      <c r="AF156" s="242"/>
      <c r="AG156" s="242"/>
      <c r="AH156" s="242"/>
      <c r="AI156" s="242"/>
      <c r="AJ156" s="242"/>
      <c r="AK156" s="243"/>
      <c r="AL156" s="310" t="s">
        <v>299</v>
      </c>
      <c r="AM156" s="242"/>
      <c r="AN156" s="243"/>
      <c r="AO156" s="340" t="s">
        <v>428</v>
      </c>
      <c r="AP156" s="242"/>
      <c r="AQ156" s="242"/>
      <c r="AR156" s="242"/>
      <c r="AS156" s="242"/>
      <c r="AT156" s="242"/>
      <c r="AU156" s="242"/>
      <c r="AV156" s="242"/>
      <c r="AW156" s="242"/>
      <c r="AX156" s="385"/>
      <c r="AY156" s="35"/>
      <c r="AZ156" s="35"/>
      <c r="BA156" s="35"/>
      <c r="BB156" s="35"/>
    </row>
    <row r="157" spans="1:54" ht="15" customHeight="1" x14ac:dyDescent="0.25">
      <c r="A157" s="323"/>
      <c r="B157" s="76" t="s">
        <v>311</v>
      </c>
      <c r="C157" s="55">
        <v>5</v>
      </c>
      <c r="D157" s="280" t="s">
        <v>422</v>
      </c>
      <c r="E157" s="264"/>
      <c r="F157" s="56" t="s">
        <v>454</v>
      </c>
      <c r="G157" s="57" t="s">
        <v>301</v>
      </c>
      <c r="H157" s="58"/>
      <c r="I157" s="59"/>
      <c r="J157" s="60"/>
      <c r="K157" s="61" t="s">
        <v>449</v>
      </c>
      <c r="L157" s="335" t="s">
        <v>464</v>
      </c>
      <c r="M157" s="264"/>
      <c r="N157" s="62" t="s">
        <v>301</v>
      </c>
      <c r="O157" s="280"/>
      <c r="P157" s="264"/>
      <c r="Q157" s="56"/>
      <c r="R157" s="57"/>
      <c r="S157" s="63" t="s">
        <v>299</v>
      </c>
      <c r="T157" s="64" t="s">
        <v>423</v>
      </c>
      <c r="U157" s="65" t="s">
        <v>466</v>
      </c>
      <c r="V157" s="66"/>
      <c r="W157" s="263"/>
      <c r="X157" s="264"/>
      <c r="Y157" s="67"/>
      <c r="Z157" s="35"/>
      <c r="AA157" s="68">
        <v>6</v>
      </c>
      <c r="AB157" s="310" t="s">
        <v>312</v>
      </c>
      <c r="AC157" s="243"/>
      <c r="AD157" s="340" t="s">
        <v>313</v>
      </c>
      <c r="AE157" s="242"/>
      <c r="AF157" s="242"/>
      <c r="AG157" s="242"/>
      <c r="AH157" s="242"/>
      <c r="AI157" s="242"/>
      <c r="AJ157" s="242"/>
      <c r="AK157" s="243"/>
      <c r="AL157" s="310" t="s">
        <v>148</v>
      </c>
      <c r="AM157" s="242"/>
      <c r="AN157" s="243"/>
      <c r="AO157" s="340" t="s">
        <v>431</v>
      </c>
      <c r="AP157" s="242"/>
      <c r="AQ157" s="242"/>
      <c r="AR157" s="242"/>
      <c r="AS157" s="242"/>
      <c r="AT157" s="242"/>
      <c r="AU157" s="242"/>
      <c r="AV157" s="242"/>
      <c r="AW157" s="242"/>
      <c r="AX157" s="385"/>
      <c r="AY157" s="35"/>
      <c r="AZ157" s="35"/>
      <c r="BA157" s="35"/>
      <c r="BB157" s="35"/>
    </row>
    <row r="158" spans="1:54" ht="15" customHeight="1" x14ac:dyDescent="0.25">
      <c r="A158" s="323"/>
      <c r="B158" s="76" t="s">
        <v>314</v>
      </c>
      <c r="C158" s="55">
        <v>6</v>
      </c>
      <c r="D158" s="280" t="s">
        <v>422</v>
      </c>
      <c r="E158" s="264"/>
      <c r="F158" s="56" t="s">
        <v>454</v>
      </c>
      <c r="G158" s="57" t="s">
        <v>301</v>
      </c>
      <c r="H158" s="58"/>
      <c r="I158" s="59"/>
      <c r="J158" s="60"/>
      <c r="K158" s="61" t="s">
        <v>449</v>
      </c>
      <c r="L158" s="335" t="s">
        <v>464</v>
      </c>
      <c r="M158" s="264"/>
      <c r="N158" s="62" t="s">
        <v>301</v>
      </c>
      <c r="O158" s="280"/>
      <c r="P158" s="264"/>
      <c r="Q158" s="56"/>
      <c r="R158" s="57"/>
      <c r="S158" s="63" t="s">
        <v>335</v>
      </c>
      <c r="T158" s="64" t="s">
        <v>424</v>
      </c>
      <c r="U158" s="65" t="s">
        <v>466</v>
      </c>
      <c r="V158" s="66"/>
      <c r="W158" s="263"/>
      <c r="X158" s="264"/>
      <c r="Y158" s="67"/>
      <c r="Z158" s="35"/>
      <c r="AA158" s="68">
        <v>7</v>
      </c>
      <c r="AB158" s="310" t="s">
        <v>465</v>
      </c>
      <c r="AC158" s="243"/>
      <c r="AD158" s="340" t="s">
        <v>469</v>
      </c>
      <c r="AE158" s="242"/>
      <c r="AF158" s="242"/>
      <c r="AG158" s="242"/>
      <c r="AH158" s="242"/>
      <c r="AI158" s="242"/>
      <c r="AJ158" s="242"/>
      <c r="AK158" s="243"/>
      <c r="AL158" s="310" t="s">
        <v>341</v>
      </c>
      <c r="AM158" s="242"/>
      <c r="AN158" s="243"/>
      <c r="AO158" s="340" t="s">
        <v>433</v>
      </c>
      <c r="AP158" s="242"/>
      <c r="AQ158" s="242"/>
      <c r="AR158" s="242"/>
      <c r="AS158" s="242"/>
      <c r="AT158" s="242"/>
      <c r="AU158" s="242"/>
      <c r="AV158" s="242"/>
      <c r="AW158" s="242"/>
      <c r="AX158" s="385"/>
      <c r="AY158" s="35"/>
      <c r="AZ158" s="35"/>
      <c r="BA158" s="35"/>
      <c r="BB158" s="35"/>
    </row>
    <row r="159" spans="1:54" ht="15" customHeight="1" x14ac:dyDescent="0.25">
      <c r="A159" s="323"/>
      <c r="B159" s="76" t="s">
        <v>321</v>
      </c>
      <c r="C159" s="55">
        <v>7</v>
      </c>
      <c r="D159" s="280" t="s">
        <v>422</v>
      </c>
      <c r="E159" s="264"/>
      <c r="F159" s="56" t="s">
        <v>454</v>
      </c>
      <c r="G159" s="57" t="s">
        <v>301</v>
      </c>
      <c r="H159" s="58"/>
      <c r="I159" s="59"/>
      <c r="J159" s="60"/>
      <c r="K159" s="61" t="s">
        <v>449</v>
      </c>
      <c r="L159" s="335" t="s">
        <v>464</v>
      </c>
      <c r="M159" s="264"/>
      <c r="N159" s="62" t="s">
        <v>301</v>
      </c>
      <c r="O159" s="280"/>
      <c r="P159" s="264"/>
      <c r="Q159" s="56"/>
      <c r="R159" s="57"/>
      <c r="S159" s="63" t="s">
        <v>335</v>
      </c>
      <c r="T159" s="64" t="s">
        <v>424</v>
      </c>
      <c r="U159" s="65" t="s">
        <v>466</v>
      </c>
      <c r="V159" s="66"/>
      <c r="W159" s="263"/>
      <c r="X159" s="264"/>
      <c r="Y159" s="67"/>
      <c r="Z159" s="35"/>
      <c r="AA159" s="68">
        <v>8</v>
      </c>
      <c r="AB159" s="310" t="s">
        <v>470</v>
      </c>
      <c r="AC159" s="243"/>
      <c r="AD159" s="340" t="s">
        <v>471</v>
      </c>
      <c r="AE159" s="242"/>
      <c r="AF159" s="242"/>
      <c r="AG159" s="242"/>
      <c r="AH159" s="242"/>
      <c r="AI159" s="242"/>
      <c r="AJ159" s="242"/>
      <c r="AK159" s="243"/>
      <c r="AL159" s="310" t="s">
        <v>383</v>
      </c>
      <c r="AM159" s="242"/>
      <c r="AN159" s="243"/>
      <c r="AO159" s="340" t="s">
        <v>434</v>
      </c>
      <c r="AP159" s="242"/>
      <c r="AQ159" s="242"/>
      <c r="AR159" s="242"/>
      <c r="AS159" s="242"/>
      <c r="AT159" s="242"/>
      <c r="AU159" s="242"/>
      <c r="AV159" s="242"/>
      <c r="AW159" s="242"/>
      <c r="AX159" s="385"/>
      <c r="AY159" s="35"/>
      <c r="AZ159" s="35"/>
      <c r="BA159" s="35"/>
      <c r="BB159" s="35"/>
    </row>
    <row r="160" spans="1:54" ht="15" customHeight="1" x14ac:dyDescent="0.25">
      <c r="A160" s="323"/>
      <c r="B160" s="78" t="s">
        <v>324</v>
      </c>
      <c r="C160" s="75"/>
      <c r="D160" s="280"/>
      <c r="E160" s="266"/>
      <c r="F160" s="266"/>
      <c r="G160" s="283"/>
      <c r="H160" s="332" t="s">
        <v>325</v>
      </c>
      <c r="I160" s="266"/>
      <c r="J160" s="283"/>
      <c r="K160" s="401"/>
      <c r="L160" s="266"/>
      <c r="M160" s="266"/>
      <c r="N160" s="267"/>
      <c r="O160" s="265"/>
      <c r="P160" s="266"/>
      <c r="Q160" s="266"/>
      <c r="R160" s="283"/>
      <c r="S160" s="265" t="s">
        <v>325</v>
      </c>
      <c r="T160" s="266"/>
      <c r="U160" s="267"/>
      <c r="V160" s="268"/>
      <c r="W160" s="266"/>
      <c r="X160" s="266"/>
      <c r="Y160" s="267"/>
      <c r="Z160" s="35"/>
      <c r="AA160" s="68">
        <v>9</v>
      </c>
      <c r="AB160" s="310" t="s">
        <v>472</v>
      </c>
      <c r="AC160" s="243"/>
      <c r="AD160" s="340" t="s">
        <v>473</v>
      </c>
      <c r="AE160" s="242"/>
      <c r="AF160" s="242"/>
      <c r="AG160" s="242"/>
      <c r="AH160" s="242"/>
      <c r="AI160" s="242"/>
      <c r="AJ160" s="242"/>
      <c r="AK160" s="243"/>
      <c r="AL160" s="310" t="s">
        <v>353</v>
      </c>
      <c r="AM160" s="242"/>
      <c r="AN160" s="243"/>
      <c r="AO160" s="340" t="s">
        <v>437</v>
      </c>
      <c r="AP160" s="242"/>
      <c r="AQ160" s="242"/>
      <c r="AR160" s="242"/>
      <c r="AS160" s="242"/>
      <c r="AT160" s="242"/>
      <c r="AU160" s="242"/>
      <c r="AV160" s="242"/>
      <c r="AW160" s="242"/>
      <c r="AX160" s="385"/>
      <c r="AY160" s="35"/>
      <c r="AZ160" s="35"/>
      <c r="BA160" s="35"/>
      <c r="BB160" s="35"/>
    </row>
    <row r="161" spans="1:54" ht="15" customHeight="1" x14ac:dyDescent="0.25">
      <c r="A161" s="323"/>
      <c r="B161" s="76" t="s">
        <v>328</v>
      </c>
      <c r="C161" s="55">
        <v>8</v>
      </c>
      <c r="D161" s="280" t="s">
        <v>422</v>
      </c>
      <c r="E161" s="264"/>
      <c r="F161" s="56" t="s">
        <v>454</v>
      </c>
      <c r="G161" s="57" t="s">
        <v>301</v>
      </c>
      <c r="H161" s="58"/>
      <c r="I161" s="59"/>
      <c r="J161" s="60"/>
      <c r="K161" s="61" t="s">
        <v>449</v>
      </c>
      <c r="L161" s="335" t="s">
        <v>464</v>
      </c>
      <c r="M161" s="264"/>
      <c r="N161" s="62" t="s">
        <v>301</v>
      </c>
      <c r="O161" s="280"/>
      <c r="P161" s="264"/>
      <c r="Q161" s="56"/>
      <c r="R161" s="57"/>
      <c r="S161" s="63" t="s">
        <v>438</v>
      </c>
      <c r="T161" s="64" t="s">
        <v>318</v>
      </c>
      <c r="U161" s="62" t="s">
        <v>466</v>
      </c>
      <c r="V161" s="66"/>
      <c r="W161" s="263"/>
      <c r="X161" s="264"/>
      <c r="Y161" s="67"/>
      <c r="Z161" s="35"/>
      <c r="AA161" s="68">
        <v>10</v>
      </c>
      <c r="AB161" s="310" t="s">
        <v>318</v>
      </c>
      <c r="AC161" s="243"/>
      <c r="AD161" s="340" t="s">
        <v>442</v>
      </c>
      <c r="AE161" s="242"/>
      <c r="AF161" s="242"/>
      <c r="AG161" s="242"/>
      <c r="AH161" s="242"/>
      <c r="AI161" s="242"/>
      <c r="AJ161" s="242"/>
      <c r="AK161" s="243"/>
      <c r="AL161" s="310" t="s">
        <v>438</v>
      </c>
      <c r="AM161" s="242"/>
      <c r="AN161" s="243"/>
      <c r="AO161" s="340" t="s">
        <v>443</v>
      </c>
      <c r="AP161" s="242"/>
      <c r="AQ161" s="242"/>
      <c r="AR161" s="242"/>
      <c r="AS161" s="242"/>
      <c r="AT161" s="242"/>
      <c r="AU161" s="242"/>
      <c r="AV161" s="242"/>
      <c r="AW161" s="242"/>
      <c r="AX161" s="385"/>
      <c r="AY161" s="35"/>
      <c r="AZ161" s="35"/>
      <c r="BA161" s="35"/>
      <c r="BB161" s="35"/>
    </row>
    <row r="162" spans="1:54" ht="15" customHeight="1" x14ac:dyDescent="0.25">
      <c r="A162" s="324"/>
      <c r="B162" s="76" t="s">
        <v>331</v>
      </c>
      <c r="C162" s="55">
        <v>9</v>
      </c>
      <c r="D162" s="287" t="s">
        <v>422</v>
      </c>
      <c r="E162" s="260"/>
      <c r="F162" s="80" t="s">
        <v>454</v>
      </c>
      <c r="G162" s="81" t="s">
        <v>301</v>
      </c>
      <c r="H162" s="145"/>
      <c r="I162" s="167"/>
      <c r="J162" s="83"/>
      <c r="K162" s="84" t="s">
        <v>449</v>
      </c>
      <c r="L162" s="337" t="s">
        <v>464</v>
      </c>
      <c r="M162" s="260"/>
      <c r="N162" s="85" t="s">
        <v>301</v>
      </c>
      <c r="O162" s="287"/>
      <c r="P162" s="260"/>
      <c r="Q162" s="80"/>
      <c r="R162" s="81"/>
      <c r="S162" s="128" t="s">
        <v>438</v>
      </c>
      <c r="T162" s="129" t="s">
        <v>318</v>
      </c>
      <c r="U162" s="85" t="s">
        <v>466</v>
      </c>
      <c r="V162" s="89"/>
      <c r="W162" s="259"/>
      <c r="X162" s="260"/>
      <c r="Y162" s="90"/>
      <c r="Z162" s="35"/>
      <c r="AA162" s="68">
        <v>11</v>
      </c>
      <c r="AB162" s="310" t="s">
        <v>330</v>
      </c>
      <c r="AC162" s="243"/>
      <c r="AD162" s="340" t="s">
        <v>336</v>
      </c>
      <c r="AE162" s="242"/>
      <c r="AF162" s="242"/>
      <c r="AG162" s="242"/>
      <c r="AH162" s="242"/>
      <c r="AI162" s="242"/>
      <c r="AJ162" s="242"/>
      <c r="AK162" s="243"/>
      <c r="AL162" s="310" t="s">
        <v>329</v>
      </c>
      <c r="AM162" s="242"/>
      <c r="AN162" s="243"/>
      <c r="AO162" s="340" t="s">
        <v>441</v>
      </c>
      <c r="AP162" s="242"/>
      <c r="AQ162" s="242"/>
      <c r="AR162" s="242"/>
      <c r="AS162" s="242"/>
      <c r="AT162" s="242"/>
      <c r="AU162" s="242"/>
      <c r="AV162" s="242"/>
      <c r="AW162" s="242"/>
      <c r="AX162" s="385"/>
      <c r="AY162" s="35"/>
      <c r="AZ162" s="35"/>
      <c r="BA162" s="35"/>
      <c r="BB162" s="35"/>
    </row>
    <row r="163" spans="1:54" ht="15" customHeight="1" x14ac:dyDescent="0.25">
      <c r="A163" s="322" t="s">
        <v>334</v>
      </c>
      <c r="B163" s="91" t="s">
        <v>291</v>
      </c>
      <c r="C163" s="92">
        <v>1</v>
      </c>
      <c r="D163" s="289" t="s">
        <v>449</v>
      </c>
      <c r="E163" s="262"/>
      <c r="F163" s="93" t="s">
        <v>452</v>
      </c>
      <c r="G163" s="94" t="s">
        <v>301</v>
      </c>
      <c r="H163" s="58"/>
      <c r="I163" s="59"/>
      <c r="J163" s="60"/>
      <c r="K163" s="96" t="s">
        <v>414</v>
      </c>
      <c r="L163" s="384" t="s">
        <v>415</v>
      </c>
      <c r="M163" s="262"/>
      <c r="N163" s="97" t="s">
        <v>301</v>
      </c>
      <c r="O163" s="289"/>
      <c r="P163" s="262"/>
      <c r="Q163" s="93"/>
      <c r="R163" s="94"/>
      <c r="S163" s="98" t="s">
        <v>148</v>
      </c>
      <c r="T163" s="99" t="s">
        <v>312</v>
      </c>
      <c r="U163" s="100" t="s">
        <v>466</v>
      </c>
      <c r="V163" s="101"/>
      <c r="W163" s="261"/>
      <c r="X163" s="262"/>
      <c r="Y163" s="102"/>
      <c r="Z163" s="35"/>
      <c r="AA163" s="79">
        <v>12</v>
      </c>
      <c r="AB163" s="311" t="s">
        <v>435</v>
      </c>
      <c r="AC163" s="312"/>
      <c r="AD163" s="404" t="s">
        <v>436</v>
      </c>
      <c r="AE163" s="354"/>
      <c r="AF163" s="354"/>
      <c r="AG163" s="354"/>
      <c r="AH163" s="354"/>
      <c r="AI163" s="354"/>
      <c r="AJ163" s="354"/>
      <c r="AK163" s="312"/>
      <c r="AL163" s="350" t="s">
        <v>353</v>
      </c>
      <c r="AM163" s="351"/>
      <c r="AN163" s="352"/>
      <c r="AO163" s="386" t="s">
        <v>437</v>
      </c>
      <c r="AP163" s="351"/>
      <c r="AQ163" s="351"/>
      <c r="AR163" s="351"/>
      <c r="AS163" s="351"/>
      <c r="AT163" s="351"/>
      <c r="AU163" s="351"/>
      <c r="AV163" s="351"/>
      <c r="AW163" s="351"/>
      <c r="AX163" s="368"/>
      <c r="AY163" s="35"/>
      <c r="AZ163" s="35"/>
      <c r="BA163" s="35"/>
      <c r="BB163" s="35"/>
    </row>
    <row r="164" spans="1:54" ht="15" customHeight="1" x14ac:dyDescent="0.25">
      <c r="A164" s="323"/>
      <c r="B164" s="54" t="s">
        <v>295</v>
      </c>
      <c r="C164" s="55">
        <v>2</v>
      </c>
      <c r="D164" s="289" t="s">
        <v>449</v>
      </c>
      <c r="E164" s="262"/>
      <c r="F164" s="93" t="s">
        <v>452</v>
      </c>
      <c r="G164" s="94" t="s">
        <v>301</v>
      </c>
      <c r="H164" s="58"/>
      <c r="I164" s="59"/>
      <c r="J164" s="60"/>
      <c r="K164" s="96" t="s">
        <v>414</v>
      </c>
      <c r="L164" s="384" t="s">
        <v>415</v>
      </c>
      <c r="M164" s="262"/>
      <c r="N164" s="97" t="s">
        <v>301</v>
      </c>
      <c r="O164" s="289"/>
      <c r="P164" s="262"/>
      <c r="Q164" s="93"/>
      <c r="R164" s="94"/>
      <c r="S164" s="63" t="s">
        <v>148</v>
      </c>
      <c r="T164" s="56" t="s">
        <v>312</v>
      </c>
      <c r="U164" s="77" t="s">
        <v>466</v>
      </c>
      <c r="V164" s="101"/>
      <c r="W164" s="261"/>
      <c r="X164" s="262"/>
      <c r="Y164" s="102"/>
      <c r="Z164" s="35"/>
      <c r="AA164" s="68">
        <v>13</v>
      </c>
      <c r="AB164" s="310" t="s">
        <v>332</v>
      </c>
      <c r="AC164" s="243"/>
      <c r="AD164" s="340" t="s">
        <v>333</v>
      </c>
      <c r="AE164" s="242"/>
      <c r="AF164" s="242"/>
      <c r="AG164" s="242"/>
      <c r="AH164" s="242"/>
      <c r="AI164" s="242"/>
      <c r="AJ164" s="242"/>
      <c r="AK164" s="243"/>
      <c r="AL164" s="310" t="s">
        <v>444</v>
      </c>
      <c r="AM164" s="242"/>
      <c r="AN164" s="243"/>
      <c r="AO164" s="340" t="s">
        <v>445</v>
      </c>
      <c r="AP164" s="242"/>
      <c r="AQ164" s="242"/>
      <c r="AR164" s="242"/>
      <c r="AS164" s="242"/>
      <c r="AT164" s="242"/>
      <c r="AU164" s="242"/>
      <c r="AV164" s="242"/>
      <c r="AW164" s="242"/>
      <c r="AX164" s="385"/>
      <c r="AY164" s="35"/>
      <c r="AZ164" s="35"/>
      <c r="BA164" s="35"/>
      <c r="BB164" s="35"/>
    </row>
    <row r="165" spans="1:54" ht="15" customHeight="1" x14ac:dyDescent="0.25">
      <c r="A165" s="323"/>
      <c r="B165" s="54" t="s">
        <v>302</v>
      </c>
      <c r="C165" s="55">
        <v>3</v>
      </c>
      <c r="D165" s="289" t="s">
        <v>449</v>
      </c>
      <c r="E165" s="262"/>
      <c r="F165" s="93" t="s">
        <v>452</v>
      </c>
      <c r="G165" s="94" t="s">
        <v>301</v>
      </c>
      <c r="H165" s="58"/>
      <c r="I165" s="59"/>
      <c r="J165" s="60"/>
      <c r="K165" s="96" t="s">
        <v>414</v>
      </c>
      <c r="L165" s="384" t="s">
        <v>415</v>
      </c>
      <c r="M165" s="262"/>
      <c r="N165" s="97" t="s">
        <v>301</v>
      </c>
      <c r="O165" s="405"/>
      <c r="P165" s="264"/>
      <c r="Q165" s="70"/>
      <c r="R165" s="57"/>
      <c r="S165" s="63" t="s">
        <v>329</v>
      </c>
      <c r="T165" s="64" t="s">
        <v>330</v>
      </c>
      <c r="U165" s="77" t="s">
        <v>466</v>
      </c>
      <c r="V165" s="66"/>
      <c r="W165" s="263"/>
      <c r="X165" s="264"/>
      <c r="Y165" s="67"/>
      <c r="Z165" s="35"/>
      <c r="AA165" s="68">
        <v>14</v>
      </c>
      <c r="AB165" s="310" t="s">
        <v>452</v>
      </c>
      <c r="AC165" s="243"/>
      <c r="AD165" s="340" t="s">
        <v>453</v>
      </c>
      <c r="AE165" s="242"/>
      <c r="AF165" s="242"/>
      <c r="AG165" s="242"/>
      <c r="AH165" s="242"/>
      <c r="AI165" s="242"/>
      <c r="AJ165" s="242"/>
      <c r="AK165" s="243"/>
      <c r="AL165" s="310" t="s">
        <v>449</v>
      </c>
      <c r="AM165" s="242"/>
      <c r="AN165" s="243"/>
      <c r="AO165" s="340" t="s">
        <v>456</v>
      </c>
      <c r="AP165" s="242"/>
      <c r="AQ165" s="242"/>
      <c r="AR165" s="242"/>
      <c r="AS165" s="242"/>
      <c r="AT165" s="242"/>
      <c r="AU165" s="242"/>
      <c r="AV165" s="242"/>
      <c r="AW165" s="242"/>
      <c r="AX165" s="385"/>
      <c r="AY165" s="35"/>
      <c r="AZ165" s="35"/>
      <c r="BA165" s="35"/>
      <c r="BB165" s="35"/>
    </row>
    <row r="166" spans="1:54" ht="15" customHeight="1" x14ac:dyDescent="0.25">
      <c r="A166" s="323"/>
      <c r="B166" s="54" t="s">
        <v>305</v>
      </c>
      <c r="C166" s="55">
        <v>4</v>
      </c>
      <c r="D166" s="289" t="s">
        <v>449</v>
      </c>
      <c r="E166" s="262"/>
      <c r="F166" s="93" t="s">
        <v>452</v>
      </c>
      <c r="G166" s="94" t="s">
        <v>301</v>
      </c>
      <c r="H166" s="58"/>
      <c r="I166" s="59"/>
      <c r="J166" s="60"/>
      <c r="K166" s="96" t="s">
        <v>414</v>
      </c>
      <c r="L166" s="384" t="s">
        <v>415</v>
      </c>
      <c r="M166" s="262"/>
      <c r="N166" s="97" t="s">
        <v>301</v>
      </c>
      <c r="O166" s="280"/>
      <c r="P166" s="264"/>
      <c r="Q166" s="56"/>
      <c r="R166" s="57"/>
      <c r="S166" s="63" t="s">
        <v>329</v>
      </c>
      <c r="T166" s="64" t="s">
        <v>330</v>
      </c>
      <c r="U166" s="62" t="s">
        <v>466</v>
      </c>
      <c r="V166" s="66"/>
      <c r="W166" s="263"/>
      <c r="X166" s="264"/>
      <c r="Y166" s="67"/>
      <c r="Z166" s="35"/>
      <c r="AA166" s="68">
        <v>15</v>
      </c>
      <c r="AB166" s="310" t="s">
        <v>464</v>
      </c>
      <c r="AC166" s="243"/>
      <c r="AD166" s="340" t="s">
        <v>474</v>
      </c>
      <c r="AE166" s="242"/>
      <c r="AF166" s="242"/>
      <c r="AG166" s="242"/>
      <c r="AH166" s="242"/>
      <c r="AI166" s="242"/>
      <c r="AJ166" s="242"/>
      <c r="AK166" s="243"/>
      <c r="AL166" s="310" t="s">
        <v>449</v>
      </c>
      <c r="AM166" s="242"/>
      <c r="AN166" s="243"/>
      <c r="AO166" s="340" t="s">
        <v>456</v>
      </c>
      <c r="AP166" s="242"/>
      <c r="AQ166" s="242"/>
      <c r="AR166" s="242"/>
      <c r="AS166" s="242"/>
      <c r="AT166" s="242"/>
      <c r="AU166" s="242"/>
      <c r="AV166" s="242"/>
      <c r="AW166" s="242"/>
      <c r="AX166" s="385"/>
      <c r="AY166" s="35"/>
      <c r="AZ166" s="35"/>
      <c r="BA166" s="35"/>
      <c r="BB166" s="35"/>
    </row>
    <row r="167" spans="1:54" ht="15" customHeight="1" x14ac:dyDescent="0.25">
      <c r="A167" s="323"/>
      <c r="B167" s="74" t="s">
        <v>308</v>
      </c>
      <c r="C167" s="75"/>
      <c r="D167" s="280"/>
      <c r="E167" s="266"/>
      <c r="F167" s="266"/>
      <c r="G167" s="283"/>
      <c r="H167" s="332" t="s">
        <v>309</v>
      </c>
      <c r="I167" s="266"/>
      <c r="J167" s="333"/>
      <c r="K167" s="334"/>
      <c r="L167" s="266"/>
      <c r="M167" s="266"/>
      <c r="N167" s="267"/>
      <c r="O167" s="265"/>
      <c r="P167" s="266"/>
      <c r="Q167" s="266"/>
      <c r="R167" s="283"/>
      <c r="S167" s="265" t="s">
        <v>309</v>
      </c>
      <c r="T167" s="266"/>
      <c r="U167" s="267"/>
      <c r="V167" s="268"/>
      <c r="W167" s="266"/>
      <c r="X167" s="266"/>
      <c r="Y167" s="267"/>
      <c r="Z167" s="35"/>
      <c r="AA167" s="68">
        <v>16</v>
      </c>
      <c r="AB167" s="310" t="s">
        <v>415</v>
      </c>
      <c r="AC167" s="243"/>
      <c r="AD167" s="103" t="s">
        <v>450</v>
      </c>
      <c r="AE167" s="104"/>
      <c r="AF167" s="104"/>
      <c r="AG167" s="104"/>
      <c r="AH167" s="104"/>
      <c r="AI167" s="104"/>
      <c r="AJ167" s="104"/>
      <c r="AK167" s="105"/>
      <c r="AL167" s="310" t="s">
        <v>414</v>
      </c>
      <c r="AM167" s="242"/>
      <c r="AN167" s="243"/>
      <c r="AO167" s="103" t="s">
        <v>448</v>
      </c>
      <c r="AP167" s="104"/>
      <c r="AQ167" s="104"/>
      <c r="AR167" s="104"/>
      <c r="AS167" s="104"/>
      <c r="AT167" s="104"/>
      <c r="AU167" s="104"/>
      <c r="AV167" s="104"/>
      <c r="AW167" s="104"/>
      <c r="AX167" s="106"/>
      <c r="AY167" s="35"/>
      <c r="AZ167" s="35"/>
      <c r="BA167" s="35"/>
      <c r="BB167" s="35"/>
    </row>
    <row r="168" spans="1:54" ht="15" customHeight="1" x14ac:dyDescent="0.25">
      <c r="A168" s="323"/>
      <c r="B168" s="76" t="s">
        <v>311</v>
      </c>
      <c r="C168" s="55">
        <v>5</v>
      </c>
      <c r="D168" s="289" t="s">
        <v>449</v>
      </c>
      <c r="E168" s="262"/>
      <c r="F168" s="93" t="s">
        <v>452</v>
      </c>
      <c r="G168" s="94" t="s">
        <v>301</v>
      </c>
      <c r="H168" s="58"/>
      <c r="I168" s="59"/>
      <c r="J168" s="60"/>
      <c r="K168" s="96" t="s">
        <v>414</v>
      </c>
      <c r="L168" s="384" t="s">
        <v>415</v>
      </c>
      <c r="M168" s="262"/>
      <c r="N168" s="97" t="s">
        <v>301</v>
      </c>
      <c r="O168" s="280"/>
      <c r="P168" s="264"/>
      <c r="Q168" s="56"/>
      <c r="R168" s="57"/>
      <c r="S168" s="63" t="s">
        <v>329</v>
      </c>
      <c r="T168" s="64" t="s">
        <v>330</v>
      </c>
      <c r="U168" s="65" t="s">
        <v>466</v>
      </c>
      <c r="V168" s="66"/>
      <c r="W168" s="263"/>
      <c r="X168" s="264"/>
      <c r="Y168" s="67"/>
      <c r="Z168" s="35"/>
      <c r="AA168" s="68">
        <v>17</v>
      </c>
      <c r="AB168" s="310" t="s">
        <v>350</v>
      </c>
      <c r="AC168" s="243"/>
      <c r="AD168" s="103" t="s">
        <v>475</v>
      </c>
      <c r="AE168" s="104"/>
      <c r="AF168" s="104"/>
      <c r="AG168" s="104"/>
      <c r="AH168" s="104"/>
      <c r="AI168" s="104"/>
      <c r="AJ168" s="104"/>
      <c r="AK168" s="105"/>
      <c r="AL168" s="310" t="s">
        <v>422</v>
      </c>
      <c r="AM168" s="242"/>
      <c r="AN168" s="243"/>
      <c r="AO168" s="103" t="s">
        <v>451</v>
      </c>
      <c r="AP168" s="104"/>
      <c r="AQ168" s="104"/>
      <c r="AR168" s="104"/>
      <c r="AS168" s="104"/>
      <c r="AT168" s="104"/>
      <c r="AU168" s="104"/>
      <c r="AV168" s="104"/>
      <c r="AW168" s="104"/>
      <c r="AX168" s="106"/>
      <c r="AY168" s="35"/>
      <c r="AZ168" s="35"/>
      <c r="BA168" s="35"/>
      <c r="BB168" s="35"/>
    </row>
    <row r="169" spans="1:54" ht="15" customHeight="1" x14ac:dyDescent="0.25">
      <c r="A169" s="323"/>
      <c r="B169" s="76" t="s">
        <v>314</v>
      </c>
      <c r="C169" s="55">
        <v>6</v>
      </c>
      <c r="D169" s="280" t="s">
        <v>414</v>
      </c>
      <c r="E169" s="264"/>
      <c r="F169" s="56" t="s">
        <v>454</v>
      </c>
      <c r="G169" s="57" t="s">
        <v>301</v>
      </c>
      <c r="H169" s="72"/>
      <c r="I169" s="56"/>
      <c r="J169" s="73"/>
      <c r="K169" s="61" t="s">
        <v>422</v>
      </c>
      <c r="L169" s="335" t="s">
        <v>350</v>
      </c>
      <c r="M169" s="264"/>
      <c r="N169" s="62" t="s">
        <v>301</v>
      </c>
      <c r="O169" s="280"/>
      <c r="P169" s="264"/>
      <c r="Q169" s="56"/>
      <c r="R169" s="57"/>
      <c r="S169" s="63" t="s">
        <v>438</v>
      </c>
      <c r="T169" s="64" t="s">
        <v>318</v>
      </c>
      <c r="U169" s="65" t="s">
        <v>466</v>
      </c>
      <c r="V169" s="66"/>
      <c r="W169" s="263"/>
      <c r="X169" s="264"/>
      <c r="Y169" s="67"/>
      <c r="Z169" s="35"/>
      <c r="AA169" s="408">
        <v>18</v>
      </c>
      <c r="AB169" s="414" t="s">
        <v>454</v>
      </c>
      <c r="AC169" s="307"/>
      <c r="AD169" s="414" t="s">
        <v>455</v>
      </c>
      <c r="AE169" s="291"/>
      <c r="AF169" s="291"/>
      <c r="AG169" s="291"/>
      <c r="AH169" s="291"/>
      <c r="AI169" s="291"/>
      <c r="AJ169" s="291"/>
      <c r="AK169" s="307"/>
      <c r="AL169" s="350" t="s">
        <v>414</v>
      </c>
      <c r="AM169" s="351"/>
      <c r="AN169" s="352"/>
      <c r="AO169" s="114" t="s">
        <v>448</v>
      </c>
      <c r="AP169" s="115"/>
      <c r="AQ169" s="115"/>
      <c r="AR169" s="115"/>
      <c r="AS169" s="115"/>
      <c r="AT169" s="115"/>
      <c r="AU169" s="115"/>
      <c r="AV169" s="115"/>
      <c r="AW169" s="115"/>
      <c r="AX169" s="116"/>
      <c r="AY169" s="35"/>
      <c r="AZ169" s="35"/>
      <c r="BA169" s="35"/>
      <c r="BB169" s="35"/>
    </row>
    <row r="170" spans="1:54" ht="15" customHeight="1" x14ac:dyDescent="0.25">
      <c r="A170" s="323"/>
      <c r="B170" s="76" t="s">
        <v>321</v>
      </c>
      <c r="C170" s="55">
        <v>7</v>
      </c>
      <c r="D170" s="280" t="s">
        <v>414</v>
      </c>
      <c r="E170" s="264"/>
      <c r="F170" s="56" t="s">
        <v>454</v>
      </c>
      <c r="G170" s="57" t="s">
        <v>301</v>
      </c>
      <c r="H170" s="72"/>
      <c r="I170" s="56"/>
      <c r="J170" s="73"/>
      <c r="K170" s="61" t="s">
        <v>422</v>
      </c>
      <c r="L170" s="335" t="s">
        <v>350</v>
      </c>
      <c r="M170" s="264"/>
      <c r="N170" s="62" t="s">
        <v>301</v>
      </c>
      <c r="O170" s="280"/>
      <c r="P170" s="264"/>
      <c r="Q170" s="56"/>
      <c r="R170" s="57"/>
      <c r="S170" s="63" t="s">
        <v>438</v>
      </c>
      <c r="T170" s="64" t="s">
        <v>318</v>
      </c>
      <c r="U170" s="65" t="s">
        <v>466</v>
      </c>
      <c r="V170" s="66"/>
      <c r="W170" s="263"/>
      <c r="X170" s="264"/>
      <c r="Y170" s="67"/>
      <c r="Z170" s="35"/>
      <c r="AA170" s="326"/>
      <c r="AB170" s="415"/>
      <c r="AC170" s="305"/>
      <c r="AD170" s="415"/>
      <c r="AE170" s="304"/>
      <c r="AF170" s="304"/>
      <c r="AG170" s="304"/>
      <c r="AH170" s="304"/>
      <c r="AI170" s="304"/>
      <c r="AJ170" s="304"/>
      <c r="AK170" s="305"/>
      <c r="AL170" s="410" t="s">
        <v>422</v>
      </c>
      <c r="AM170" s="411"/>
      <c r="AN170" s="412"/>
      <c r="AO170" s="120" t="s">
        <v>451</v>
      </c>
      <c r="AP170" s="121"/>
      <c r="AQ170" s="121"/>
      <c r="AR170" s="121"/>
      <c r="AS170" s="121"/>
      <c r="AT170" s="121"/>
      <c r="AU170" s="121"/>
      <c r="AV170" s="121"/>
      <c r="AW170" s="121"/>
      <c r="AX170" s="181"/>
      <c r="AY170" s="35"/>
      <c r="AZ170" s="35"/>
      <c r="BA170" s="35"/>
      <c r="BB170" s="35"/>
    </row>
    <row r="171" spans="1:54" ht="15" customHeight="1" x14ac:dyDescent="0.25">
      <c r="A171" s="323"/>
      <c r="B171" s="78" t="s">
        <v>324</v>
      </c>
      <c r="C171" s="75"/>
      <c r="D171" s="280"/>
      <c r="E171" s="266"/>
      <c r="F171" s="266"/>
      <c r="G171" s="283"/>
      <c r="H171" s="332" t="s">
        <v>325</v>
      </c>
      <c r="I171" s="266"/>
      <c r="J171" s="283"/>
      <c r="K171" s="401"/>
      <c r="L171" s="266"/>
      <c r="M171" s="266"/>
      <c r="N171" s="267"/>
      <c r="O171" s="265"/>
      <c r="P171" s="266"/>
      <c r="Q171" s="266"/>
      <c r="R171" s="283"/>
      <c r="S171" s="265" t="s">
        <v>325</v>
      </c>
      <c r="T171" s="266"/>
      <c r="U171" s="267"/>
      <c r="V171" s="268"/>
      <c r="W171" s="266"/>
      <c r="X171" s="266"/>
      <c r="Y171" s="267"/>
      <c r="Z171" s="35"/>
      <c r="AA171" s="182"/>
      <c r="AB171" s="409"/>
      <c r="AC171" s="247"/>
      <c r="AD171" s="413"/>
      <c r="AE171" s="246"/>
      <c r="AF171" s="246"/>
      <c r="AG171" s="246"/>
      <c r="AH171" s="246"/>
      <c r="AI171" s="246"/>
      <c r="AJ171" s="246"/>
      <c r="AK171" s="247"/>
      <c r="AL171" s="409"/>
      <c r="AM171" s="246"/>
      <c r="AN171" s="247"/>
      <c r="AO171" s="413"/>
      <c r="AP171" s="246"/>
      <c r="AQ171" s="246"/>
      <c r="AR171" s="246"/>
      <c r="AS171" s="246"/>
      <c r="AT171" s="246"/>
      <c r="AU171" s="246"/>
      <c r="AV171" s="246"/>
      <c r="AW171" s="246"/>
      <c r="AX171" s="247"/>
      <c r="AY171" s="35"/>
      <c r="AZ171" s="35"/>
      <c r="BA171" s="35"/>
      <c r="BB171" s="35"/>
    </row>
    <row r="172" spans="1:54" ht="15" customHeight="1" x14ac:dyDescent="0.25">
      <c r="A172" s="323"/>
      <c r="B172" s="76" t="s">
        <v>328</v>
      </c>
      <c r="C172" s="55">
        <v>8</v>
      </c>
      <c r="D172" s="280" t="s">
        <v>414</v>
      </c>
      <c r="E172" s="264"/>
      <c r="F172" s="56" t="s">
        <v>454</v>
      </c>
      <c r="G172" s="57" t="s">
        <v>301</v>
      </c>
      <c r="H172" s="72"/>
      <c r="I172" s="56"/>
      <c r="J172" s="73"/>
      <c r="K172" s="61" t="s">
        <v>422</v>
      </c>
      <c r="L172" s="335" t="s">
        <v>350</v>
      </c>
      <c r="M172" s="264"/>
      <c r="N172" s="62" t="s">
        <v>301</v>
      </c>
      <c r="O172" s="280"/>
      <c r="P172" s="264"/>
      <c r="Q172" s="56"/>
      <c r="R172" s="57"/>
      <c r="S172" s="63" t="s">
        <v>299</v>
      </c>
      <c r="T172" s="64" t="s">
        <v>423</v>
      </c>
      <c r="U172" s="62" t="s">
        <v>466</v>
      </c>
      <c r="V172" s="66"/>
      <c r="W172" s="263"/>
      <c r="X172" s="264"/>
      <c r="Y172" s="67"/>
      <c r="Z172" s="35"/>
      <c r="AA172" s="38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35"/>
      <c r="AZ172" s="35"/>
      <c r="BA172" s="35"/>
      <c r="BB172" s="35"/>
    </row>
    <row r="173" spans="1:54" ht="15" customHeight="1" x14ac:dyDescent="0.25">
      <c r="A173" s="324"/>
      <c r="B173" s="76" t="s">
        <v>331</v>
      </c>
      <c r="C173" s="55">
        <v>9</v>
      </c>
      <c r="D173" s="287" t="s">
        <v>414</v>
      </c>
      <c r="E173" s="260"/>
      <c r="F173" s="80" t="s">
        <v>454</v>
      </c>
      <c r="G173" s="81" t="s">
        <v>301</v>
      </c>
      <c r="H173" s="82"/>
      <c r="I173" s="80"/>
      <c r="J173" s="127"/>
      <c r="K173" s="84" t="s">
        <v>422</v>
      </c>
      <c r="L173" s="337" t="s">
        <v>350</v>
      </c>
      <c r="M173" s="260"/>
      <c r="N173" s="85" t="s">
        <v>301</v>
      </c>
      <c r="O173" s="287"/>
      <c r="P173" s="260"/>
      <c r="Q173" s="80"/>
      <c r="R173" s="81"/>
      <c r="S173" s="128" t="s">
        <v>299</v>
      </c>
      <c r="T173" s="129" t="s">
        <v>423</v>
      </c>
      <c r="U173" s="85" t="s">
        <v>466</v>
      </c>
      <c r="V173" s="89"/>
      <c r="W173" s="259"/>
      <c r="X173" s="260"/>
      <c r="Y173" s="90"/>
      <c r="Z173" s="35"/>
      <c r="AA173" s="39" t="s">
        <v>359</v>
      </c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</row>
    <row r="174" spans="1:54" ht="15" customHeight="1" x14ac:dyDescent="0.25">
      <c r="A174" s="322" t="s">
        <v>355</v>
      </c>
      <c r="B174" s="91" t="s">
        <v>291</v>
      </c>
      <c r="C174" s="92">
        <v>1</v>
      </c>
      <c r="D174" s="289" t="s">
        <v>449</v>
      </c>
      <c r="E174" s="262"/>
      <c r="F174" s="93" t="s">
        <v>452</v>
      </c>
      <c r="G174" s="94" t="s">
        <v>301</v>
      </c>
      <c r="H174" s="58"/>
      <c r="I174" s="59"/>
      <c r="J174" s="60"/>
      <c r="K174" s="96" t="s">
        <v>414</v>
      </c>
      <c r="L174" s="384" t="s">
        <v>415</v>
      </c>
      <c r="M174" s="262"/>
      <c r="N174" s="97" t="s">
        <v>301</v>
      </c>
      <c r="O174" s="289"/>
      <c r="P174" s="262"/>
      <c r="Q174" s="93"/>
      <c r="R174" s="94"/>
      <c r="S174" s="98" t="s">
        <v>148</v>
      </c>
      <c r="T174" s="130" t="s">
        <v>312</v>
      </c>
      <c r="U174" s="100" t="s">
        <v>466</v>
      </c>
      <c r="V174" s="131"/>
      <c r="W174" s="261"/>
      <c r="X174" s="262"/>
      <c r="Y174" s="102"/>
      <c r="Z174" s="35"/>
      <c r="AA174" s="133" t="s">
        <v>360</v>
      </c>
      <c r="AB174" s="134"/>
      <c r="AC174" s="134"/>
      <c r="AD174" s="135">
        <v>1</v>
      </c>
      <c r="AE174" s="135">
        <v>2</v>
      </c>
      <c r="AF174" s="135">
        <v>3</v>
      </c>
      <c r="AG174" s="135">
        <v>4</v>
      </c>
      <c r="AH174" s="135">
        <v>5</v>
      </c>
      <c r="AI174" s="135">
        <v>6</v>
      </c>
      <c r="AJ174" s="135">
        <v>7</v>
      </c>
      <c r="AK174" s="135">
        <v>8</v>
      </c>
      <c r="AL174" s="135">
        <v>9</v>
      </c>
      <c r="AM174" s="135">
        <v>10</v>
      </c>
      <c r="AN174" s="135">
        <v>11</v>
      </c>
      <c r="AO174" s="135">
        <v>12</v>
      </c>
      <c r="AP174" s="135">
        <v>13</v>
      </c>
      <c r="AQ174" s="135">
        <v>14</v>
      </c>
      <c r="AR174" s="135">
        <v>15</v>
      </c>
      <c r="AS174" s="135">
        <v>16</v>
      </c>
      <c r="AT174" s="135">
        <v>17</v>
      </c>
      <c r="AU174" s="135">
        <v>18</v>
      </c>
      <c r="AV174" s="135">
        <v>19</v>
      </c>
      <c r="AW174" s="135">
        <v>20</v>
      </c>
      <c r="AX174" s="136">
        <v>21</v>
      </c>
      <c r="AY174" s="35"/>
      <c r="AZ174" s="35"/>
      <c r="BA174" s="35"/>
      <c r="BB174" s="35"/>
    </row>
    <row r="175" spans="1:54" ht="15" customHeight="1" x14ac:dyDescent="0.25">
      <c r="A175" s="323"/>
      <c r="B175" s="54" t="s">
        <v>295</v>
      </c>
      <c r="C175" s="55">
        <v>2</v>
      </c>
      <c r="D175" s="289" t="s">
        <v>449</v>
      </c>
      <c r="E175" s="262"/>
      <c r="F175" s="93" t="s">
        <v>452</v>
      </c>
      <c r="G175" s="94" t="s">
        <v>301</v>
      </c>
      <c r="H175" s="58"/>
      <c r="I175" s="59"/>
      <c r="J175" s="60"/>
      <c r="K175" s="96" t="s">
        <v>414</v>
      </c>
      <c r="L175" s="384" t="s">
        <v>415</v>
      </c>
      <c r="M175" s="262"/>
      <c r="N175" s="97" t="s">
        <v>301</v>
      </c>
      <c r="O175" s="280"/>
      <c r="P175" s="264"/>
      <c r="Q175" s="56"/>
      <c r="R175" s="57"/>
      <c r="S175" s="63" t="s">
        <v>148</v>
      </c>
      <c r="T175" s="64" t="s">
        <v>312</v>
      </c>
      <c r="U175" s="77" t="s">
        <v>466</v>
      </c>
      <c r="V175" s="132"/>
      <c r="W175" s="263"/>
      <c r="X175" s="264"/>
      <c r="Y175" s="67"/>
      <c r="Z175" s="35"/>
      <c r="AA175" s="271" t="s">
        <v>361</v>
      </c>
      <c r="AB175" s="272"/>
      <c r="AC175" s="273"/>
      <c r="AD175" s="252" t="s">
        <v>459</v>
      </c>
      <c r="AE175" s="252" t="s">
        <v>363</v>
      </c>
      <c r="AF175" s="252" t="s">
        <v>364</v>
      </c>
      <c r="AG175" s="252" t="s">
        <v>365</v>
      </c>
      <c r="AH175" s="252" t="s">
        <v>366</v>
      </c>
      <c r="AI175" s="252" t="s">
        <v>367</v>
      </c>
      <c r="AJ175" s="255" t="s">
        <v>368</v>
      </c>
      <c r="AK175" s="252" t="s">
        <v>369</v>
      </c>
      <c r="AL175" s="252" t="s">
        <v>370</v>
      </c>
      <c r="AM175" s="252" t="s">
        <v>371</v>
      </c>
      <c r="AN175" s="252" t="s">
        <v>372</v>
      </c>
      <c r="AO175" s="252" t="s">
        <v>373</v>
      </c>
      <c r="AP175" s="252" t="s">
        <v>374</v>
      </c>
      <c r="AQ175" s="252" t="s">
        <v>375</v>
      </c>
      <c r="AR175" s="252" t="s">
        <v>376</v>
      </c>
      <c r="AS175" s="252" t="s">
        <v>377</v>
      </c>
      <c r="AT175" s="252" t="s">
        <v>378</v>
      </c>
      <c r="AU175" s="252" t="s">
        <v>379</v>
      </c>
      <c r="AV175" s="252" t="s">
        <v>380</v>
      </c>
      <c r="AW175" s="252" t="s">
        <v>381</v>
      </c>
      <c r="AX175" s="256" t="s">
        <v>382</v>
      </c>
      <c r="AY175" s="35"/>
      <c r="AZ175" s="35"/>
      <c r="BA175" s="35"/>
      <c r="BB175" s="35"/>
    </row>
    <row r="176" spans="1:54" ht="15" customHeight="1" x14ac:dyDescent="0.25">
      <c r="A176" s="323"/>
      <c r="B176" s="54" t="s">
        <v>302</v>
      </c>
      <c r="C176" s="55">
        <v>3</v>
      </c>
      <c r="D176" s="289" t="s">
        <v>449</v>
      </c>
      <c r="E176" s="262"/>
      <c r="F176" s="93" t="s">
        <v>452</v>
      </c>
      <c r="G176" s="94" t="s">
        <v>301</v>
      </c>
      <c r="H176" s="58"/>
      <c r="I176" s="59"/>
      <c r="J176" s="60"/>
      <c r="K176" s="96" t="s">
        <v>414</v>
      </c>
      <c r="L176" s="384" t="s">
        <v>415</v>
      </c>
      <c r="M176" s="262"/>
      <c r="N176" s="97" t="s">
        <v>301</v>
      </c>
      <c r="O176" s="280"/>
      <c r="P176" s="264"/>
      <c r="Q176" s="56"/>
      <c r="R176" s="57"/>
      <c r="S176" s="63" t="s">
        <v>353</v>
      </c>
      <c r="T176" s="64" t="s">
        <v>472</v>
      </c>
      <c r="U176" s="62" t="s">
        <v>466</v>
      </c>
      <c r="V176" s="132"/>
      <c r="W176" s="263"/>
      <c r="X176" s="264"/>
      <c r="Y176" s="67"/>
      <c r="Z176" s="35"/>
      <c r="AA176" s="274"/>
      <c r="AB176" s="275"/>
      <c r="AC176" s="276"/>
      <c r="AD176" s="253"/>
      <c r="AE176" s="253"/>
      <c r="AF176" s="253"/>
      <c r="AG176" s="253"/>
      <c r="AH176" s="253"/>
      <c r="AI176" s="253"/>
      <c r="AJ176" s="253"/>
      <c r="AK176" s="253"/>
      <c r="AL176" s="253"/>
      <c r="AM176" s="253"/>
      <c r="AN176" s="253"/>
      <c r="AO176" s="253"/>
      <c r="AP176" s="253"/>
      <c r="AQ176" s="253"/>
      <c r="AR176" s="253"/>
      <c r="AS176" s="253"/>
      <c r="AT176" s="253"/>
      <c r="AU176" s="253"/>
      <c r="AV176" s="253"/>
      <c r="AW176" s="253"/>
      <c r="AX176" s="257"/>
      <c r="AY176" s="35"/>
      <c r="AZ176" s="35"/>
      <c r="BA176" s="35"/>
      <c r="BB176" s="35"/>
    </row>
    <row r="177" spans="1:54" ht="15" customHeight="1" x14ac:dyDescent="0.25">
      <c r="A177" s="323"/>
      <c r="B177" s="54" t="s">
        <v>305</v>
      </c>
      <c r="C177" s="55">
        <v>4</v>
      </c>
      <c r="D177" s="289" t="s">
        <v>449</v>
      </c>
      <c r="E177" s="262"/>
      <c r="F177" s="93" t="s">
        <v>452</v>
      </c>
      <c r="G177" s="94" t="s">
        <v>301</v>
      </c>
      <c r="H177" s="58"/>
      <c r="I177" s="59"/>
      <c r="J177" s="60"/>
      <c r="K177" s="96" t="s">
        <v>414</v>
      </c>
      <c r="L177" s="384" t="s">
        <v>415</v>
      </c>
      <c r="M177" s="262"/>
      <c r="N177" s="97" t="s">
        <v>301</v>
      </c>
      <c r="O177" s="280"/>
      <c r="P177" s="264"/>
      <c r="Q177" s="56"/>
      <c r="R177" s="57"/>
      <c r="S177" s="63" t="s">
        <v>353</v>
      </c>
      <c r="T177" s="64" t="s">
        <v>472</v>
      </c>
      <c r="U177" s="62" t="s">
        <v>466</v>
      </c>
      <c r="V177" s="66"/>
      <c r="W177" s="263"/>
      <c r="X177" s="264"/>
      <c r="Y177" s="67"/>
      <c r="Z177" s="35"/>
      <c r="AA177" s="274"/>
      <c r="AB177" s="275"/>
      <c r="AC177" s="276"/>
      <c r="AD177" s="253"/>
      <c r="AE177" s="253"/>
      <c r="AF177" s="253"/>
      <c r="AG177" s="253"/>
      <c r="AH177" s="253"/>
      <c r="AI177" s="253"/>
      <c r="AJ177" s="253"/>
      <c r="AK177" s="253"/>
      <c r="AL177" s="253"/>
      <c r="AM177" s="253"/>
      <c r="AN177" s="253"/>
      <c r="AO177" s="253"/>
      <c r="AP177" s="253"/>
      <c r="AQ177" s="253"/>
      <c r="AR177" s="253"/>
      <c r="AS177" s="253"/>
      <c r="AT177" s="253"/>
      <c r="AU177" s="253"/>
      <c r="AV177" s="253"/>
      <c r="AW177" s="253"/>
      <c r="AX177" s="257"/>
      <c r="AY177" s="35"/>
      <c r="AZ177" s="35"/>
      <c r="BA177" s="35"/>
      <c r="BB177" s="35"/>
    </row>
    <row r="178" spans="1:54" ht="15" customHeight="1" x14ac:dyDescent="0.25">
      <c r="A178" s="323"/>
      <c r="B178" s="74" t="s">
        <v>308</v>
      </c>
      <c r="C178" s="75"/>
      <c r="D178" s="280"/>
      <c r="E178" s="266"/>
      <c r="F178" s="266"/>
      <c r="G178" s="283"/>
      <c r="H178" s="332" t="s">
        <v>309</v>
      </c>
      <c r="I178" s="266"/>
      <c r="J178" s="333"/>
      <c r="K178" s="334"/>
      <c r="L178" s="266"/>
      <c r="M178" s="266"/>
      <c r="N178" s="267"/>
      <c r="O178" s="265"/>
      <c r="P178" s="266"/>
      <c r="Q178" s="266"/>
      <c r="R178" s="283"/>
      <c r="S178" s="265" t="s">
        <v>309</v>
      </c>
      <c r="T178" s="266"/>
      <c r="U178" s="267"/>
      <c r="V178" s="268"/>
      <c r="W178" s="266"/>
      <c r="X178" s="266"/>
      <c r="Y178" s="267"/>
      <c r="Z178" s="35"/>
      <c r="AA178" s="274"/>
      <c r="AB178" s="275"/>
      <c r="AC178" s="276"/>
      <c r="AD178" s="253"/>
      <c r="AE178" s="253"/>
      <c r="AF178" s="253"/>
      <c r="AG178" s="253"/>
      <c r="AH178" s="253"/>
      <c r="AI178" s="253"/>
      <c r="AJ178" s="253"/>
      <c r="AK178" s="253"/>
      <c r="AL178" s="253"/>
      <c r="AM178" s="253"/>
      <c r="AN178" s="253"/>
      <c r="AO178" s="253"/>
      <c r="AP178" s="253"/>
      <c r="AQ178" s="253"/>
      <c r="AR178" s="253"/>
      <c r="AS178" s="253"/>
      <c r="AT178" s="253"/>
      <c r="AU178" s="253"/>
      <c r="AV178" s="253"/>
      <c r="AW178" s="253"/>
      <c r="AX178" s="257"/>
      <c r="AY178" s="35"/>
      <c r="AZ178" s="35"/>
      <c r="BA178" s="35"/>
      <c r="BB178" s="35"/>
    </row>
    <row r="179" spans="1:54" ht="15" customHeight="1" x14ac:dyDescent="0.25">
      <c r="A179" s="323"/>
      <c r="B179" s="76" t="s">
        <v>311</v>
      </c>
      <c r="C179" s="55">
        <v>5</v>
      </c>
      <c r="D179" s="289" t="s">
        <v>449</v>
      </c>
      <c r="E179" s="262"/>
      <c r="F179" s="93" t="s">
        <v>452</v>
      </c>
      <c r="G179" s="94" t="s">
        <v>301</v>
      </c>
      <c r="H179" s="58"/>
      <c r="I179" s="59"/>
      <c r="J179" s="60"/>
      <c r="K179" s="96" t="s">
        <v>414</v>
      </c>
      <c r="L179" s="384" t="s">
        <v>415</v>
      </c>
      <c r="M179" s="262"/>
      <c r="N179" s="97" t="s">
        <v>301</v>
      </c>
      <c r="O179" s="280"/>
      <c r="P179" s="264"/>
      <c r="Q179" s="56"/>
      <c r="R179" s="57"/>
      <c r="S179" s="63" t="s">
        <v>357</v>
      </c>
      <c r="T179" s="64" t="s">
        <v>476</v>
      </c>
      <c r="U179" s="65" t="s">
        <v>466</v>
      </c>
      <c r="V179" s="66"/>
      <c r="W179" s="263"/>
      <c r="X179" s="264"/>
      <c r="Y179" s="67"/>
      <c r="Z179" s="35"/>
      <c r="AA179" s="274"/>
      <c r="AB179" s="275"/>
      <c r="AC179" s="276"/>
      <c r="AD179" s="253"/>
      <c r="AE179" s="253"/>
      <c r="AF179" s="253"/>
      <c r="AG179" s="253"/>
      <c r="AH179" s="253"/>
      <c r="AI179" s="253"/>
      <c r="AJ179" s="253"/>
      <c r="AK179" s="253"/>
      <c r="AL179" s="253"/>
      <c r="AM179" s="253"/>
      <c r="AN179" s="253"/>
      <c r="AO179" s="253"/>
      <c r="AP179" s="253"/>
      <c r="AQ179" s="253"/>
      <c r="AR179" s="253"/>
      <c r="AS179" s="253"/>
      <c r="AT179" s="253"/>
      <c r="AU179" s="253"/>
      <c r="AV179" s="253"/>
      <c r="AW179" s="253"/>
      <c r="AX179" s="257"/>
      <c r="AY179" s="35"/>
      <c r="AZ179" s="35"/>
      <c r="BA179" s="35"/>
      <c r="BB179" s="35"/>
    </row>
    <row r="180" spans="1:54" ht="15" customHeight="1" x14ac:dyDescent="0.25">
      <c r="A180" s="323"/>
      <c r="B180" s="76" t="s">
        <v>314</v>
      </c>
      <c r="C180" s="55">
        <v>6</v>
      </c>
      <c r="D180" s="280" t="s">
        <v>422</v>
      </c>
      <c r="E180" s="264"/>
      <c r="F180" s="56" t="s">
        <v>454</v>
      </c>
      <c r="G180" s="57" t="s">
        <v>301</v>
      </c>
      <c r="H180" s="72"/>
      <c r="I180" s="56"/>
      <c r="J180" s="73"/>
      <c r="K180" s="96" t="s">
        <v>414</v>
      </c>
      <c r="L180" s="384" t="s">
        <v>415</v>
      </c>
      <c r="M180" s="262"/>
      <c r="N180" s="97" t="s">
        <v>301</v>
      </c>
      <c r="O180" s="280"/>
      <c r="P180" s="264"/>
      <c r="Q180" s="56"/>
      <c r="R180" s="57"/>
      <c r="S180" s="63" t="s">
        <v>357</v>
      </c>
      <c r="T180" s="64" t="s">
        <v>476</v>
      </c>
      <c r="U180" s="65" t="s">
        <v>466</v>
      </c>
      <c r="V180" s="66"/>
      <c r="W180" s="263"/>
      <c r="X180" s="264"/>
      <c r="Y180" s="67"/>
      <c r="Z180" s="35"/>
      <c r="AA180" s="274"/>
      <c r="AB180" s="275"/>
      <c r="AC180" s="276"/>
      <c r="AD180" s="253"/>
      <c r="AE180" s="253"/>
      <c r="AF180" s="253"/>
      <c r="AG180" s="253"/>
      <c r="AH180" s="253"/>
      <c r="AI180" s="253"/>
      <c r="AJ180" s="253"/>
      <c r="AK180" s="253"/>
      <c r="AL180" s="253"/>
      <c r="AM180" s="253"/>
      <c r="AN180" s="253"/>
      <c r="AO180" s="253"/>
      <c r="AP180" s="253"/>
      <c r="AQ180" s="253"/>
      <c r="AR180" s="253"/>
      <c r="AS180" s="253"/>
      <c r="AT180" s="253"/>
      <c r="AU180" s="253"/>
      <c r="AV180" s="253"/>
      <c r="AW180" s="253"/>
      <c r="AX180" s="257"/>
      <c r="AY180" s="35"/>
      <c r="AZ180" s="35"/>
      <c r="BA180" s="35"/>
      <c r="BB180" s="35"/>
    </row>
    <row r="181" spans="1:54" ht="15" customHeight="1" x14ac:dyDescent="0.25">
      <c r="A181" s="323"/>
      <c r="B181" s="76" t="s">
        <v>321</v>
      </c>
      <c r="C181" s="55">
        <v>7</v>
      </c>
      <c r="D181" s="280" t="s">
        <v>422</v>
      </c>
      <c r="E181" s="264"/>
      <c r="F181" s="56" t="s">
        <v>454</v>
      </c>
      <c r="G181" s="57" t="s">
        <v>301</v>
      </c>
      <c r="H181" s="72"/>
      <c r="I181" s="56"/>
      <c r="J181" s="73"/>
      <c r="K181" s="96" t="s">
        <v>414</v>
      </c>
      <c r="L181" s="384" t="s">
        <v>415</v>
      </c>
      <c r="M181" s="262"/>
      <c r="N181" s="97" t="s">
        <v>301</v>
      </c>
      <c r="O181" s="280"/>
      <c r="P181" s="264"/>
      <c r="Q181" s="56"/>
      <c r="R181" s="57"/>
      <c r="S181" s="63" t="s">
        <v>357</v>
      </c>
      <c r="T181" s="64" t="s">
        <v>476</v>
      </c>
      <c r="U181" s="65" t="s">
        <v>466</v>
      </c>
      <c r="V181" s="66"/>
      <c r="W181" s="263"/>
      <c r="X181" s="264"/>
      <c r="Y181" s="67"/>
      <c r="Z181" s="35"/>
      <c r="AA181" s="277"/>
      <c r="AB181" s="278"/>
      <c r="AC181" s="279"/>
      <c r="AD181" s="253"/>
      <c r="AE181" s="253"/>
      <c r="AF181" s="253"/>
      <c r="AG181" s="253"/>
      <c r="AH181" s="253"/>
      <c r="AI181" s="253"/>
      <c r="AJ181" s="253"/>
      <c r="AK181" s="253"/>
      <c r="AL181" s="253"/>
      <c r="AM181" s="253"/>
      <c r="AN181" s="253"/>
      <c r="AO181" s="253"/>
      <c r="AP181" s="253"/>
      <c r="AQ181" s="253"/>
      <c r="AR181" s="253"/>
      <c r="AS181" s="253"/>
      <c r="AT181" s="253"/>
      <c r="AU181" s="253"/>
      <c r="AV181" s="253"/>
      <c r="AW181" s="253"/>
      <c r="AX181" s="257"/>
      <c r="AY181" s="35"/>
      <c r="AZ181" s="35"/>
      <c r="BA181" s="35"/>
      <c r="BB181" s="35"/>
    </row>
    <row r="182" spans="1:54" ht="15" customHeight="1" x14ac:dyDescent="0.25">
      <c r="A182" s="323"/>
      <c r="B182" s="78" t="s">
        <v>324</v>
      </c>
      <c r="C182" s="75"/>
      <c r="D182" s="280"/>
      <c r="E182" s="266"/>
      <c r="F182" s="266"/>
      <c r="G182" s="283"/>
      <c r="H182" s="332" t="s">
        <v>325</v>
      </c>
      <c r="I182" s="266"/>
      <c r="J182" s="283"/>
      <c r="K182" s="401"/>
      <c r="L182" s="266"/>
      <c r="M182" s="266"/>
      <c r="N182" s="267"/>
      <c r="O182" s="265"/>
      <c r="P182" s="266"/>
      <c r="Q182" s="266"/>
      <c r="R182" s="283"/>
      <c r="S182" s="265" t="s">
        <v>325</v>
      </c>
      <c r="T182" s="266"/>
      <c r="U182" s="267"/>
      <c r="V182" s="268"/>
      <c r="W182" s="266"/>
      <c r="X182" s="266"/>
      <c r="Y182" s="267"/>
      <c r="Z182" s="35"/>
      <c r="AA182" s="316" t="s">
        <v>384</v>
      </c>
      <c r="AB182" s="317"/>
      <c r="AC182" s="318"/>
      <c r="AD182" s="254"/>
      <c r="AE182" s="254"/>
      <c r="AF182" s="254"/>
      <c r="AG182" s="254"/>
      <c r="AH182" s="254"/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  <c r="AT182" s="254"/>
      <c r="AU182" s="254"/>
      <c r="AV182" s="254"/>
      <c r="AW182" s="254"/>
      <c r="AX182" s="258"/>
      <c r="AY182" s="35"/>
      <c r="AZ182" s="35"/>
      <c r="BA182" s="35"/>
      <c r="BB182" s="35"/>
    </row>
    <row r="183" spans="1:54" ht="15" customHeight="1" x14ac:dyDescent="0.25">
      <c r="A183" s="323"/>
      <c r="B183" s="76" t="s">
        <v>328</v>
      </c>
      <c r="C183" s="55">
        <v>8</v>
      </c>
      <c r="D183" s="280" t="s">
        <v>422</v>
      </c>
      <c r="E183" s="264"/>
      <c r="F183" s="56" t="s">
        <v>454</v>
      </c>
      <c r="G183" s="57" t="s">
        <v>301</v>
      </c>
      <c r="H183" s="72"/>
      <c r="I183" s="56"/>
      <c r="J183" s="73"/>
      <c r="K183" s="61" t="s">
        <v>449</v>
      </c>
      <c r="L183" s="335" t="s">
        <v>464</v>
      </c>
      <c r="M183" s="264"/>
      <c r="N183" s="62" t="s">
        <v>301</v>
      </c>
      <c r="O183" s="280"/>
      <c r="P183" s="264"/>
      <c r="Q183" s="56"/>
      <c r="R183" s="57"/>
      <c r="S183" s="63" t="s">
        <v>383</v>
      </c>
      <c r="T183" s="64" t="s">
        <v>470</v>
      </c>
      <c r="U183" s="62" t="s">
        <v>466</v>
      </c>
      <c r="V183" s="66"/>
      <c r="W183" s="263"/>
      <c r="X183" s="264"/>
      <c r="Y183" s="67"/>
      <c r="Z183" s="35"/>
      <c r="AA183" s="306" t="s">
        <v>385</v>
      </c>
      <c r="AB183" s="291"/>
      <c r="AC183" s="307"/>
      <c r="AD183" s="286" t="s">
        <v>386</v>
      </c>
      <c r="AE183" s="285" t="s">
        <v>387</v>
      </c>
      <c r="AF183" s="286" t="s">
        <v>386</v>
      </c>
      <c r="AG183" s="285" t="s">
        <v>387</v>
      </c>
      <c r="AH183" s="286" t="s">
        <v>386</v>
      </c>
      <c r="AI183" s="285" t="s">
        <v>387</v>
      </c>
      <c r="AJ183" s="286" t="s">
        <v>386</v>
      </c>
      <c r="AK183" s="285" t="s">
        <v>387</v>
      </c>
      <c r="AL183" s="286" t="s">
        <v>386</v>
      </c>
      <c r="AM183" s="296" t="s">
        <v>388</v>
      </c>
      <c r="AN183" s="285" t="s">
        <v>387</v>
      </c>
      <c r="AO183" s="286" t="s">
        <v>386</v>
      </c>
      <c r="AP183" s="285" t="s">
        <v>387</v>
      </c>
      <c r="AQ183" s="286" t="s">
        <v>386</v>
      </c>
      <c r="AR183" s="285" t="s">
        <v>387</v>
      </c>
      <c r="AS183" s="286" t="s">
        <v>386</v>
      </c>
      <c r="AT183" s="285" t="s">
        <v>387</v>
      </c>
      <c r="AU183" s="286" t="s">
        <v>386</v>
      </c>
      <c r="AV183" s="285" t="s">
        <v>387</v>
      </c>
      <c r="AW183" s="286" t="s">
        <v>386</v>
      </c>
      <c r="AX183" s="297" t="s">
        <v>389</v>
      </c>
      <c r="AY183" s="35"/>
      <c r="AZ183" s="35"/>
      <c r="BA183" s="35"/>
      <c r="BB183" s="35"/>
    </row>
    <row r="184" spans="1:54" ht="15" customHeight="1" x14ac:dyDescent="0.25">
      <c r="A184" s="324"/>
      <c r="B184" s="138" t="s">
        <v>331</v>
      </c>
      <c r="C184" s="55">
        <v>9</v>
      </c>
      <c r="D184" s="287" t="s">
        <v>422</v>
      </c>
      <c r="E184" s="260"/>
      <c r="F184" s="80" t="s">
        <v>454</v>
      </c>
      <c r="G184" s="81" t="s">
        <v>301</v>
      </c>
      <c r="H184" s="82"/>
      <c r="I184" s="80"/>
      <c r="J184" s="127"/>
      <c r="K184" s="84" t="s">
        <v>449</v>
      </c>
      <c r="L184" s="337" t="s">
        <v>464</v>
      </c>
      <c r="M184" s="260"/>
      <c r="N184" s="85" t="s">
        <v>301</v>
      </c>
      <c r="O184" s="287"/>
      <c r="P184" s="260"/>
      <c r="Q184" s="80"/>
      <c r="R184" s="81"/>
      <c r="S184" s="128" t="s">
        <v>383</v>
      </c>
      <c r="T184" s="129" t="s">
        <v>470</v>
      </c>
      <c r="U184" s="85" t="s">
        <v>466</v>
      </c>
      <c r="V184" s="89"/>
      <c r="W184" s="259"/>
      <c r="X184" s="260"/>
      <c r="Y184" s="90"/>
      <c r="Z184" s="35"/>
      <c r="AA184" s="300"/>
      <c r="AB184" s="301"/>
      <c r="AC184" s="302"/>
      <c r="AD184" s="250"/>
      <c r="AE184" s="250"/>
      <c r="AF184" s="250"/>
      <c r="AG184" s="250"/>
      <c r="AH184" s="250"/>
      <c r="AI184" s="250"/>
      <c r="AJ184" s="250"/>
      <c r="AK184" s="250"/>
      <c r="AL184" s="250"/>
      <c r="AM184" s="253"/>
      <c r="AN184" s="250"/>
      <c r="AO184" s="250"/>
      <c r="AP184" s="250"/>
      <c r="AQ184" s="250"/>
      <c r="AR184" s="250"/>
      <c r="AS184" s="250"/>
      <c r="AT184" s="250"/>
      <c r="AU184" s="250"/>
      <c r="AV184" s="250"/>
      <c r="AW184" s="250"/>
      <c r="AX184" s="257"/>
      <c r="AY184" s="35"/>
      <c r="AZ184" s="35"/>
      <c r="BA184" s="35"/>
      <c r="BB184" s="35"/>
    </row>
    <row r="185" spans="1:54" ht="15" customHeight="1" x14ac:dyDescent="0.25">
      <c r="A185" s="322" t="s">
        <v>390</v>
      </c>
      <c r="B185" s="91" t="s">
        <v>291</v>
      </c>
      <c r="C185" s="92">
        <v>1</v>
      </c>
      <c r="D185" s="289" t="s">
        <v>449</v>
      </c>
      <c r="E185" s="262"/>
      <c r="F185" s="93" t="s">
        <v>452</v>
      </c>
      <c r="G185" s="94" t="s">
        <v>301</v>
      </c>
      <c r="H185" s="58"/>
      <c r="I185" s="59"/>
      <c r="J185" s="60"/>
      <c r="K185" s="96" t="s">
        <v>422</v>
      </c>
      <c r="L185" s="384" t="s">
        <v>350</v>
      </c>
      <c r="M185" s="262"/>
      <c r="N185" s="97" t="s">
        <v>301</v>
      </c>
      <c r="O185" s="289"/>
      <c r="P185" s="262"/>
      <c r="Q185" s="93"/>
      <c r="R185" s="94"/>
      <c r="S185" s="98" t="s">
        <v>329</v>
      </c>
      <c r="T185" s="130" t="s">
        <v>330</v>
      </c>
      <c r="U185" s="100" t="s">
        <v>466</v>
      </c>
      <c r="V185" s="131"/>
      <c r="W185" s="261"/>
      <c r="X185" s="262"/>
      <c r="Y185" s="102"/>
      <c r="Z185" s="35"/>
      <c r="AA185" s="299" t="s">
        <v>392</v>
      </c>
      <c r="AB185" s="272"/>
      <c r="AC185" s="273"/>
      <c r="AD185" s="249" t="s">
        <v>387</v>
      </c>
      <c r="AE185" s="251" t="s">
        <v>386</v>
      </c>
      <c r="AF185" s="249" t="s">
        <v>387</v>
      </c>
      <c r="AG185" s="251" t="s">
        <v>386</v>
      </c>
      <c r="AH185" s="249" t="s">
        <v>387</v>
      </c>
      <c r="AI185" s="251" t="s">
        <v>386</v>
      </c>
      <c r="AJ185" s="249" t="s">
        <v>387</v>
      </c>
      <c r="AK185" s="251" t="s">
        <v>386</v>
      </c>
      <c r="AL185" s="249" t="s">
        <v>387</v>
      </c>
      <c r="AM185" s="253"/>
      <c r="AN185" s="251" t="s">
        <v>386</v>
      </c>
      <c r="AO185" s="249" t="s">
        <v>387</v>
      </c>
      <c r="AP185" s="251" t="s">
        <v>386</v>
      </c>
      <c r="AQ185" s="249" t="s">
        <v>387</v>
      </c>
      <c r="AR185" s="251" t="s">
        <v>386</v>
      </c>
      <c r="AS185" s="249" t="s">
        <v>387</v>
      </c>
      <c r="AT185" s="251" t="s">
        <v>386</v>
      </c>
      <c r="AU185" s="249" t="s">
        <v>387</v>
      </c>
      <c r="AV185" s="251" t="s">
        <v>386</v>
      </c>
      <c r="AW185" s="249" t="s">
        <v>387</v>
      </c>
      <c r="AX185" s="257"/>
      <c r="AY185" s="35"/>
      <c r="AZ185" s="35"/>
      <c r="BA185" s="35"/>
      <c r="BB185" s="35"/>
    </row>
    <row r="186" spans="1:54" ht="15" customHeight="1" x14ac:dyDescent="0.25">
      <c r="A186" s="323"/>
      <c r="B186" s="54" t="s">
        <v>295</v>
      </c>
      <c r="C186" s="55">
        <v>2</v>
      </c>
      <c r="D186" s="289" t="s">
        <v>449</v>
      </c>
      <c r="E186" s="262"/>
      <c r="F186" s="93" t="s">
        <v>452</v>
      </c>
      <c r="G186" s="94" t="s">
        <v>301</v>
      </c>
      <c r="H186" s="58"/>
      <c r="I186" s="59"/>
      <c r="J186" s="60"/>
      <c r="K186" s="96" t="s">
        <v>422</v>
      </c>
      <c r="L186" s="384" t="s">
        <v>350</v>
      </c>
      <c r="M186" s="262"/>
      <c r="N186" s="97" t="s">
        <v>301</v>
      </c>
      <c r="O186" s="280"/>
      <c r="P186" s="264"/>
      <c r="Q186" s="56"/>
      <c r="R186" s="57"/>
      <c r="S186" s="63" t="s">
        <v>329</v>
      </c>
      <c r="T186" s="64" t="s">
        <v>330</v>
      </c>
      <c r="U186" s="77" t="s">
        <v>466</v>
      </c>
      <c r="V186" s="132"/>
      <c r="W186" s="263"/>
      <c r="X186" s="264"/>
      <c r="Y186" s="67"/>
      <c r="Z186" s="35"/>
      <c r="AA186" s="300"/>
      <c r="AB186" s="301"/>
      <c r="AC186" s="302"/>
      <c r="AD186" s="250"/>
      <c r="AE186" s="250"/>
      <c r="AF186" s="250"/>
      <c r="AG186" s="250"/>
      <c r="AH186" s="250"/>
      <c r="AI186" s="250"/>
      <c r="AJ186" s="250"/>
      <c r="AK186" s="250"/>
      <c r="AL186" s="250"/>
      <c r="AM186" s="253"/>
      <c r="AN186" s="250"/>
      <c r="AO186" s="250"/>
      <c r="AP186" s="250"/>
      <c r="AQ186" s="250"/>
      <c r="AR186" s="250"/>
      <c r="AS186" s="250"/>
      <c r="AT186" s="250"/>
      <c r="AU186" s="250"/>
      <c r="AV186" s="250"/>
      <c r="AW186" s="250"/>
      <c r="AX186" s="257"/>
      <c r="AY186" s="35"/>
      <c r="AZ186" s="35"/>
      <c r="BA186" s="35"/>
      <c r="BB186" s="35"/>
    </row>
    <row r="187" spans="1:54" ht="15" customHeight="1" x14ac:dyDescent="0.25">
      <c r="A187" s="323"/>
      <c r="B187" s="54" t="s">
        <v>302</v>
      </c>
      <c r="C187" s="55">
        <v>3</v>
      </c>
      <c r="D187" s="289" t="s">
        <v>449</v>
      </c>
      <c r="E187" s="262"/>
      <c r="F187" s="93" t="s">
        <v>452</v>
      </c>
      <c r="G187" s="94" t="s">
        <v>301</v>
      </c>
      <c r="H187" s="58"/>
      <c r="I187" s="59"/>
      <c r="J187" s="60"/>
      <c r="K187" s="96" t="s">
        <v>422</v>
      </c>
      <c r="L187" s="384" t="s">
        <v>350</v>
      </c>
      <c r="M187" s="262"/>
      <c r="N187" s="97" t="s">
        <v>301</v>
      </c>
      <c r="O187" s="280"/>
      <c r="P187" s="264"/>
      <c r="Q187" s="56"/>
      <c r="R187" s="57"/>
      <c r="S187" s="63" t="s">
        <v>329</v>
      </c>
      <c r="T187" s="64" t="s">
        <v>330</v>
      </c>
      <c r="U187" s="62" t="s">
        <v>466</v>
      </c>
      <c r="V187" s="132"/>
      <c r="W187" s="263"/>
      <c r="X187" s="264"/>
      <c r="Y187" s="67"/>
      <c r="Z187" s="35"/>
      <c r="AA187" s="299" t="s">
        <v>393</v>
      </c>
      <c r="AB187" s="272"/>
      <c r="AC187" s="273"/>
      <c r="AD187" s="251" t="s">
        <v>386</v>
      </c>
      <c r="AE187" s="249" t="s">
        <v>387</v>
      </c>
      <c r="AF187" s="251" t="s">
        <v>386</v>
      </c>
      <c r="AG187" s="249" t="s">
        <v>387</v>
      </c>
      <c r="AH187" s="251" t="s">
        <v>386</v>
      </c>
      <c r="AI187" s="249" t="s">
        <v>387</v>
      </c>
      <c r="AJ187" s="251" t="s">
        <v>386</v>
      </c>
      <c r="AK187" s="249" t="s">
        <v>387</v>
      </c>
      <c r="AL187" s="251" t="s">
        <v>386</v>
      </c>
      <c r="AM187" s="253"/>
      <c r="AN187" s="249" t="s">
        <v>387</v>
      </c>
      <c r="AO187" s="251" t="s">
        <v>386</v>
      </c>
      <c r="AP187" s="249" t="s">
        <v>387</v>
      </c>
      <c r="AQ187" s="251" t="s">
        <v>386</v>
      </c>
      <c r="AR187" s="249" t="s">
        <v>387</v>
      </c>
      <c r="AS187" s="251" t="s">
        <v>386</v>
      </c>
      <c r="AT187" s="249" t="s">
        <v>387</v>
      </c>
      <c r="AU187" s="251" t="s">
        <v>386</v>
      </c>
      <c r="AV187" s="249" t="s">
        <v>387</v>
      </c>
      <c r="AW187" s="251" t="s">
        <v>386</v>
      </c>
      <c r="AX187" s="257"/>
      <c r="AY187" s="35"/>
      <c r="AZ187" s="35"/>
      <c r="BA187" s="35"/>
      <c r="BB187" s="35"/>
    </row>
    <row r="188" spans="1:54" ht="15" customHeight="1" x14ac:dyDescent="0.25">
      <c r="A188" s="323"/>
      <c r="B188" s="54" t="s">
        <v>305</v>
      </c>
      <c r="C188" s="55">
        <v>4</v>
      </c>
      <c r="D188" s="289" t="s">
        <v>449</v>
      </c>
      <c r="E188" s="262"/>
      <c r="F188" s="93" t="s">
        <v>452</v>
      </c>
      <c r="G188" s="94" t="s">
        <v>301</v>
      </c>
      <c r="H188" s="58"/>
      <c r="I188" s="59"/>
      <c r="J188" s="60"/>
      <c r="K188" s="96" t="s">
        <v>422</v>
      </c>
      <c r="L188" s="384" t="s">
        <v>350</v>
      </c>
      <c r="M188" s="262"/>
      <c r="N188" s="97" t="s">
        <v>301</v>
      </c>
      <c r="O188" s="280"/>
      <c r="P188" s="264"/>
      <c r="Q188" s="56"/>
      <c r="R188" s="57"/>
      <c r="S188" s="63" t="s">
        <v>148</v>
      </c>
      <c r="T188" s="64" t="s">
        <v>312</v>
      </c>
      <c r="U188" s="62" t="s">
        <v>466</v>
      </c>
      <c r="V188" s="66"/>
      <c r="W188" s="263"/>
      <c r="X188" s="264"/>
      <c r="Y188" s="67"/>
      <c r="Z188" s="35"/>
      <c r="AA188" s="303"/>
      <c r="AB188" s="304"/>
      <c r="AC188" s="30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8"/>
      <c r="AY188" s="35"/>
      <c r="AZ188" s="35"/>
      <c r="BA188" s="35"/>
      <c r="BB188" s="35"/>
    </row>
    <row r="189" spans="1:54" ht="15" customHeight="1" x14ac:dyDescent="0.25">
      <c r="A189" s="323"/>
      <c r="B189" s="74" t="s">
        <v>308</v>
      </c>
      <c r="C189" s="75"/>
      <c r="D189" s="280"/>
      <c r="E189" s="266"/>
      <c r="F189" s="266"/>
      <c r="G189" s="283"/>
      <c r="H189" s="332" t="s">
        <v>309</v>
      </c>
      <c r="I189" s="266"/>
      <c r="J189" s="333"/>
      <c r="K189" s="334"/>
      <c r="L189" s="266"/>
      <c r="M189" s="266"/>
      <c r="N189" s="267"/>
      <c r="O189" s="265"/>
      <c r="P189" s="266"/>
      <c r="Q189" s="266"/>
      <c r="R189" s="283"/>
      <c r="S189" s="265" t="s">
        <v>309</v>
      </c>
      <c r="T189" s="266"/>
      <c r="U189" s="267"/>
      <c r="V189" s="268"/>
      <c r="W189" s="266"/>
      <c r="X189" s="266"/>
      <c r="Y189" s="267"/>
      <c r="Z189" s="35"/>
      <c r="AA189" s="139"/>
      <c r="AB189" s="35"/>
      <c r="AC189" s="35"/>
      <c r="AD189" s="139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</row>
    <row r="190" spans="1:54" ht="15" customHeight="1" x14ac:dyDescent="0.25">
      <c r="A190" s="323"/>
      <c r="B190" s="76" t="s">
        <v>311</v>
      </c>
      <c r="C190" s="55">
        <v>5</v>
      </c>
      <c r="D190" s="289" t="s">
        <v>449</v>
      </c>
      <c r="E190" s="262"/>
      <c r="F190" s="93" t="s">
        <v>452</v>
      </c>
      <c r="G190" s="94" t="s">
        <v>301</v>
      </c>
      <c r="H190" s="58"/>
      <c r="I190" s="59"/>
      <c r="J190" s="60"/>
      <c r="K190" s="96" t="s">
        <v>422</v>
      </c>
      <c r="L190" s="384" t="s">
        <v>350</v>
      </c>
      <c r="M190" s="262"/>
      <c r="N190" s="97" t="s">
        <v>301</v>
      </c>
      <c r="O190" s="280"/>
      <c r="P190" s="264"/>
      <c r="Q190" s="56"/>
      <c r="R190" s="57"/>
      <c r="S190" s="63" t="s">
        <v>148</v>
      </c>
      <c r="T190" s="64" t="s">
        <v>312</v>
      </c>
      <c r="U190" s="62" t="s">
        <v>466</v>
      </c>
      <c r="V190" s="66"/>
      <c r="W190" s="263"/>
      <c r="X190" s="264"/>
      <c r="Y190" s="67"/>
      <c r="Z190" s="35"/>
      <c r="AA190" s="140" t="s">
        <v>394</v>
      </c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35"/>
      <c r="AY190" s="35"/>
      <c r="AZ190" s="35"/>
      <c r="BA190" s="35"/>
      <c r="BB190" s="35"/>
    </row>
    <row r="191" spans="1:54" ht="15" customHeight="1" x14ac:dyDescent="0.25">
      <c r="A191" s="323"/>
      <c r="B191" s="76" t="s">
        <v>314</v>
      </c>
      <c r="C191" s="55">
        <v>6</v>
      </c>
      <c r="D191" s="280" t="s">
        <v>422</v>
      </c>
      <c r="E191" s="264"/>
      <c r="F191" s="56" t="s">
        <v>454</v>
      </c>
      <c r="G191" s="57" t="s">
        <v>301</v>
      </c>
      <c r="H191" s="72"/>
      <c r="I191" s="56"/>
      <c r="J191" s="73"/>
      <c r="K191" s="61" t="s">
        <v>449</v>
      </c>
      <c r="L191" s="335" t="s">
        <v>464</v>
      </c>
      <c r="M191" s="264"/>
      <c r="N191" s="62" t="s">
        <v>301</v>
      </c>
      <c r="O191" s="280"/>
      <c r="P191" s="264"/>
      <c r="Q191" s="56"/>
      <c r="R191" s="57"/>
      <c r="S191" s="63" t="s">
        <v>299</v>
      </c>
      <c r="T191" s="64" t="s">
        <v>423</v>
      </c>
      <c r="U191" s="62" t="s">
        <v>466</v>
      </c>
      <c r="V191" s="66"/>
      <c r="W191" s="263"/>
      <c r="X191" s="264"/>
      <c r="Y191" s="67"/>
      <c r="Z191" s="35"/>
      <c r="AA191" s="141" t="s">
        <v>395</v>
      </c>
      <c r="AB191" s="140" t="s">
        <v>396</v>
      </c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38"/>
      <c r="AP191" s="140"/>
      <c r="AQ191" s="140"/>
      <c r="AR191" s="140"/>
      <c r="AS191" s="140"/>
      <c r="AT191" s="140"/>
      <c r="AU191" s="140"/>
      <c r="AV191" s="140"/>
      <c r="AW191" s="140"/>
      <c r="AX191" s="35"/>
      <c r="AY191" s="35"/>
      <c r="AZ191" s="35"/>
      <c r="BA191" s="35"/>
      <c r="BB191" s="35"/>
    </row>
    <row r="192" spans="1:54" ht="15" customHeight="1" x14ac:dyDescent="0.25">
      <c r="A192" s="323"/>
      <c r="B192" s="76" t="s">
        <v>321</v>
      </c>
      <c r="C192" s="55">
        <v>7</v>
      </c>
      <c r="D192" s="280" t="s">
        <v>422</v>
      </c>
      <c r="E192" s="264"/>
      <c r="F192" s="56" t="s">
        <v>454</v>
      </c>
      <c r="G192" s="57" t="s">
        <v>301</v>
      </c>
      <c r="H192" s="72"/>
      <c r="I192" s="56"/>
      <c r="J192" s="73"/>
      <c r="K192" s="61" t="s">
        <v>449</v>
      </c>
      <c r="L192" s="335" t="s">
        <v>464</v>
      </c>
      <c r="M192" s="264"/>
      <c r="N192" s="62" t="s">
        <v>301</v>
      </c>
      <c r="O192" s="280"/>
      <c r="P192" s="264"/>
      <c r="Q192" s="56"/>
      <c r="R192" s="57"/>
      <c r="S192" s="63" t="s">
        <v>299</v>
      </c>
      <c r="T192" s="64" t="s">
        <v>423</v>
      </c>
      <c r="U192" s="62" t="s">
        <v>466</v>
      </c>
      <c r="V192" s="66"/>
      <c r="W192" s="263"/>
      <c r="X192" s="264"/>
      <c r="Y192" s="67"/>
      <c r="Z192" s="35"/>
      <c r="AA192" s="142"/>
      <c r="AB192" s="140" t="s">
        <v>397</v>
      </c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3"/>
      <c r="AP192" s="140"/>
      <c r="AQ192" s="140"/>
      <c r="AR192" s="140"/>
      <c r="AS192" s="140"/>
      <c r="AT192" s="140"/>
      <c r="AU192" s="140"/>
      <c r="AV192" s="140"/>
      <c r="AW192" s="140"/>
      <c r="AX192" s="35"/>
      <c r="AY192" s="35"/>
      <c r="AZ192" s="35"/>
      <c r="BA192" s="35"/>
      <c r="BB192" s="35"/>
    </row>
    <row r="193" spans="1:54" ht="15" customHeight="1" x14ac:dyDescent="0.25">
      <c r="A193" s="323"/>
      <c r="B193" s="78" t="s">
        <v>324</v>
      </c>
      <c r="C193" s="75"/>
      <c r="D193" s="280"/>
      <c r="E193" s="266"/>
      <c r="F193" s="266"/>
      <c r="G193" s="283"/>
      <c r="H193" s="332" t="s">
        <v>325</v>
      </c>
      <c r="I193" s="266"/>
      <c r="J193" s="283"/>
      <c r="K193" s="401"/>
      <c r="L193" s="266"/>
      <c r="M193" s="266"/>
      <c r="N193" s="267"/>
      <c r="O193" s="265"/>
      <c r="P193" s="266"/>
      <c r="Q193" s="266"/>
      <c r="R193" s="283"/>
      <c r="S193" s="265" t="s">
        <v>325</v>
      </c>
      <c r="T193" s="266"/>
      <c r="U193" s="267"/>
      <c r="V193" s="268"/>
      <c r="W193" s="266"/>
      <c r="X193" s="266"/>
      <c r="Y193" s="267"/>
      <c r="Z193" s="35"/>
      <c r="AA193" s="141" t="s">
        <v>398</v>
      </c>
      <c r="AB193" s="290" t="s">
        <v>399</v>
      </c>
      <c r="AC193" s="291"/>
      <c r="AD193" s="291"/>
      <c r="AE193" s="291"/>
      <c r="AF193" s="291"/>
      <c r="AG193" s="291"/>
      <c r="AH193" s="291"/>
      <c r="AI193" s="291"/>
      <c r="AJ193" s="291"/>
      <c r="AK193" s="291"/>
      <c r="AL193" s="291"/>
      <c r="AM193" s="291"/>
      <c r="AN193" s="291"/>
      <c r="AO193" s="291"/>
      <c r="AP193" s="291"/>
      <c r="AQ193" s="291"/>
      <c r="AR193" s="291"/>
      <c r="AS193" s="291"/>
      <c r="AT193" s="291"/>
      <c r="AU193" s="291"/>
      <c r="AV193" s="291"/>
      <c r="AW193" s="292"/>
      <c r="AX193" s="35"/>
      <c r="AY193" s="35"/>
      <c r="AZ193" s="35"/>
      <c r="BA193" s="35"/>
      <c r="BB193" s="35"/>
    </row>
    <row r="194" spans="1:54" ht="15" customHeight="1" x14ac:dyDescent="0.25">
      <c r="A194" s="323"/>
      <c r="B194" s="76" t="s">
        <v>328</v>
      </c>
      <c r="C194" s="55">
        <v>8</v>
      </c>
      <c r="D194" s="280" t="s">
        <v>422</v>
      </c>
      <c r="E194" s="264"/>
      <c r="F194" s="56" t="s">
        <v>454</v>
      </c>
      <c r="G194" s="57" t="s">
        <v>301</v>
      </c>
      <c r="H194" s="72"/>
      <c r="I194" s="56"/>
      <c r="J194" s="73"/>
      <c r="K194" s="61" t="s">
        <v>449</v>
      </c>
      <c r="L194" s="335" t="s">
        <v>464</v>
      </c>
      <c r="M194" s="264"/>
      <c r="N194" s="62" t="s">
        <v>301</v>
      </c>
      <c r="O194" s="280"/>
      <c r="P194" s="264"/>
      <c r="Q194" s="56"/>
      <c r="R194" s="57"/>
      <c r="S194" s="63" t="s">
        <v>353</v>
      </c>
      <c r="T194" s="64" t="s">
        <v>472</v>
      </c>
      <c r="U194" s="62" t="s">
        <v>466</v>
      </c>
      <c r="V194" s="66"/>
      <c r="W194" s="263"/>
      <c r="X194" s="264"/>
      <c r="Y194" s="67"/>
      <c r="Z194" s="35"/>
      <c r="AA194" s="142"/>
      <c r="AB194" s="293"/>
      <c r="AC194" s="278"/>
      <c r="AD194" s="278"/>
      <c r="AE194" s="278"/>
      <c r="AF194" s="278"/>
      <c r="AG194" s="278"/>
      <c r="AH194" s="278"/>
      <c r="AI194" s="278"/>
      <c r="AJ194" s="278"/>
      <c r="AK194" s="278"/>
      <c r="AL194" s="278"/>
      <c r="AM194" s="278"/>
      <c r="AN194" s="278"/>
      <c r="AO194" s="278"/>
      <c r="AP194" s="278"/>
      <c r="AQ194" s="278"/>
      <c r="AR194" s="278"/>
      <c r="AS194" s="278"/>
      <c r="AT194" s="278"/>
      <c r="AU194" s="278"/>
      <c r="AV194" s="278"/>
      <c r="AW194" s="294"/>
      <c r="AX194" s="35"/>
      <c r="AY194" s="35"/>
      <c r="AZ194" s="35"/>
      <c r="BA194" s="35"/>
      <c r="BB194" s="35"/>
    </row>
    <row r="195" spans="1:54" ht="15" customHeight="1" x14ac:dyDescent="0.25">
      <c r="A195" s="324"/>
      <c r="B195" s="138" t="s">
        <v>331</v>
      </c>
      <c r="C195" s="55">
        <v>9</v>
      </c>
      <c r="D195" s="287" t="s">
        <v>422</v>
      </c>
      <c r="E195" s="260"/>
      <c r="F195" s="80" t="s">
        <v>454</v>
      </c>
      <c r="G195" s="81" t="s">
        <v>301</v>
      </c>
      <c r="H195" s="82"/>
      <c r="I195" s="80"/>
      <c r="J195" s="127"/>
      <c r="K195" s="84" t="s">
        <v>449</v>
      </c>
      <c r="L195" s="337" t="s">
        <v>464</v>
      </c>
      <c r="M195" s="260"/>
      <c r="N195" s="85" t="s">
        <v>301</v>
      </c>
      <c r="O195" s="287"/>
      <c r="P195" s="260"/>
      <c r="Q195" s="80"/>
      <c r="R195" s="81"/>
      <c r="S195" s="128" t="s">
        <v>353</v>
      </c>
      <c r="T195" s="129" t="s">
        <v>472</v>
      </c>
      <c r="U195" s="85" t="s">
        <v>466</v>
      </c>
      <c r="V195" s="89"/>
      <c r="W195" s="259"/>
      <c r="X195" s="260"/>
      <c r="Y195" s="90"/>
      <c r="Z195" s="35"/>
      <c r="AA195" s="142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35"/>
      <c r="AY195" s="35"/>
      <c r="AZ195" s="35"/>
      <c r="BA195" s="35"/>
      <c r="BB195" s="35"/>
    </row>
    <row r="196" spans="1:54" ht="15" customHeight="1" x14ac:dyDescent="0.25">
      <c r="A196" s="322" t="s">
        <v>400</v>
      </c>
      <c r="B196" s="91" t="s">
        <v>291</v>
      </c>
      <c r="C196" s="92">
        <v>1</v>
      </c>
      <c r="D196" s="289" t="s">
        <v>414</v>
      </c>
      <c r="E196" s="262"/>
      <c r="F196" s="93" t="s">
        <v>454</v>
      </c>
      <c r="G196" s="94" t="s">
        <v>301</v>
      </c>
      <c r="H196" s="95"/>
      <c r="I196" s="93"/>
      <c r="J196" s="60"/>
      <c r="K196" s="61" t="s">
        <v>449</v>
      </c>
      <c r="L196" s="335" t="s">
        <v>464</v>
      </c>
      <c r="M196" s="264"/>
      <c r="N196" s="97" t="s">
        <v>301</v>
      </c>
      <c r="O196" s="289"/>
      <c r="P196" s="262"/>
      <c r="Q196" s="93"/>
      <c r="R196" s="94"/>
      <c r="S196" s="98" t="s">
        <v>383</v>
      </c>
      <c r="T196" s="99" t="s">
        <v>470</v>
      </c>
      <c r="U196" s="100" t="s">
        <v>466</v>
      </c>
      <c r="V196" s="131"/>
      <c r="W196" s="261"/>
      <c r="X196" s="262"/>
      <c r="Y196" s="102"/>
      <c r="Z196" s="35"/>
      <c r="AA196" s="142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35"/>
      <c r="AY196" s="35"/>
      <c r="AZ196" s="35"/>
      <c r="BA196" s="35"/>
      <c r="BB196" s="35"/>
    </row>
    <row r="197" spans="1:54" ht="15" customHeight="1" x14ac:dyDescent="0.25">
      <c r="A197" s="323"/>
      <c r="B197" s="54" t="s">
        <v>295</v>
      </c>
      <c r="C197" s="55">
        <v>2</v>
      </c>
      <c r="D197" s="289" t="s">
        <v>414</v>
      </c>
      <c r="E197" s="262"/>
      <c r="F197" s="93" t="s">
        <v>454</v>
      </c>
      <c r="G197" s="94" t="s">
        <v>301</v>
      </c>
      <c r="H197" s="95"/>
      <c r="I197" s="93"/>
      <c r="J197" s="60"/>
      <c r="K197" s="61" t="s">
        <v>449</v>
      </c>
      <c r="L197" s="335" t="s">
        <v>464</v>
      </c>
      <c r="M197" s="264"/>
      <c r="N197" s="97" t="s">
        <v>301</v>
      </c>
      <c r="O197" s="280"/>
      <c r="P197" s="264"/>
      <c r="Q197" s="56"/>
      <c r="R197" s="57"/>
      <c r="S197" s="63" t="s">
        <v>383</v>
      </c>
      <c r="T197" s="56" t="s">
        <v>470</v>
      </c>
      <c r="U197" s="77" t="s">
        <v>466</v>
      </c>
      <c r="V197" s="132"/>
      <c r="W197" s="263"/>
      <c r="X197" s="264"/>
      <c r="Y197" s="67"/>
      <c r="Z197" s="35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35"/>
      <c r="AY197" s="35"/>
      <c r="AZ197" s="35"/>
      <c r="BA197" s="35"/>
      <c r="BB197" s="35"/>
    </row>
    <row r="198" spans="1:54" ht="15" customHeight="1" x14ac:dyDescent="0.25">
      <c r="A198" s="323"/>
      <c r="B198" s="54" t="s">
        <v>302</v>
      </c>
      <c r="C198" s="55">
        <v>3</v>
      </c>
      <c r="D198" s="289" t="s">
        <v>414</v>
      </c>
      <c r="E198" s="262"/>
      <c r="F198" s="93" t="s">
        <v>454</v>
      </c>
      <c r="G198" s="94" t="s">
        <v>301</v>
      </c>
      <c r="H198" s="95"/>
      <c r="I198" s="93"/>
      <c r="J198" s="60"/>
      <c r="K198" s="61" t="s">
        <v>449</v>
      </c>
      <c r="L198" s="335" t="s">
        <v>464</v>
      </c>
      <c r="M198" s="264"/>
      <c r="N198" s="97" t="s">
        <v>301</v>
      </c>
      <c r="O198" s="280"/>
      <c r="P198" s="264"/>
      <c r="Q198" s="56"/>
      <c r="R198" s="57"/>
      <c r="S198" s="63" t="s">
        <v>299</v>
      </c>
      <c r="T198" s="64" t="s">
        <v>423</v>
      </c>
      <c r="U198" s="62" t="s">
        <v>466</v>
      </c>
      <c r="V198" s="132"/>
      <c r="W198" s="263"/>
      <c r="X198" s="264"/>
      <c r="Y198" s="67"/>
      <c r="Z198" s="35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35"/>
      <c r="AY198" s="35"/>
      <c r="AZ198" s="35"/>
      <c r="BA198" s="35"/>
      <c r="BB198" s="35"/>
    </row>
    <row r="199" spans="1:54" ht="15" customHeight="1" x14ac:dyDescent="0.25">
      <c r="A199" s="323"/>
      <c r="B199" s="54" t="s">
        <v>305</v>
      </c>
      <c r="C199" s="55">
        <v>4</v>
      </c>
      <c r="D199" s="289" t="s">
        <v>414</v>
      </c>
      <c r="E199" s="262"/>
      <c r="F199" s="93" t="s">
        <v>454</v>
      </c>
      <c r="G199" s="94" t="s">
        <v>301</v>
      </c>
      <c r="H199" s="95"/>
      <c r="I199" s="93"/>
      <c r="J199" s="60"/>
      <c r="K199" s="61" t="s">
        <v>449</v>
      </c>
      <c r="L199" s="335" t="s">
        <v>464</v>
      </c>
      <c r="M199" s="264"/>
      <c r="N199" s="97" t="s">
        <v>301</v>
      </c>
      <c r="O199" s="280"/>
      <c r="P199" s="264"/>
      <c r="Q199" s="56"/>
      <c r="R199" s="57"/>
      <c r="S199" s="63" t="s">
        <v>299</v>
      </c>
      <c r="T199" s="64" t="s">
        <v>423</v>
      </c>
      <c r="U199" s="62" t="s">
        <v>466</v>
      </c>
      <c r="V199" s="66"/>
      <c r="W199" s="263"/>
      <c r="X199" s="264"/>
      <c r="Y199" s="67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8" t="s">
        <v>460</v>
      </c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</row>
    <row r="200" spans="1:54" ht="15" customHeight="1" x14ac:dyDescent="0.25">
      <c r="A200" s="323"/>
      <c r="B200" s="78" t="s">
        <v>308</v>
      </c>
      <c r="C200" s="75"/>
      <c r="D200" s="280"/>
      <c r="E200" s="266"/>
      <c r="F200" s="266"/>
      <c r="G200" s="283"/>
      <c r="H200" s="332" t="s">
        <v>309</v>
      </c>
      <c r="I200" s="266"/>
      <c r="J200" s="333"/>
      <c r="K200" s="334"/>
      <c r="L200" s="266"/>
      <c r="M200" s="266"/>
      <c r="N200" s="267"/>
      <c r="O200" s="265"/>
      <c r="P200" s="266"/>
      <c r="Q200" s="266"/>
      <c r="R200" s="283"/>
      <c r="S200" s="265" t="s">
        <v>309</v>
      </c>
      <c r="T200" s="266"/>
      <c r="U200" s="267"/>
      <c r="V200" s="268"/>
      <c r="W200" s="266"/>
      <c r="X200" s="266"/>
      <c r="Y200" s="267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143" t="s">
        <v>402</v>
      </c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</row>
    <row r="201" spans="1:54" ht="15" customHeight="1" x14ac:dyDescent="0.25">
      <c r="A201" s="323"/>
      <c r="B201" s="54" t="s">
        <v>311</v>
      </c>
      <c r="C201" s="55">
        <v>5</v>
      </c>
      <c r="D201" s="289" t="s">
        <v>414</v>
      </c>
      <c r="E201" s="262"/>
      <c r="F201" s="93" t="s">
        <v>454</v>
      </c>
      <c r="G201" s="94" t="s">
        <v>301</v>
      </c>
      <c r="H201" s="95"/>
      <c r="I201" s="93"/>
      <c r="J201" s="60"/>
      <c r="K201" s="61" t="s">
        <v>449</v>
      </c>
      <c r="L201" s="335" t="s">
        <v>464</v>
      </c>
      <c r="M201" s="264"/>
      <c r="N201" s="97" t="s">
        <v>301</v>
      </c>
      <c r="O201" s="280"/>
      <c r="P201" s="264"/>
      <c r="Q201" s="56"/>
      <c r="R201" s="57"/>
      <c r="S201" s="63" t="s">
        <v>148</v>
      </c>
      <c r="T201" s="64" t="s">
        <v>312</v>
      </c>
      <c r="U201" s="62" t="s">
        <v>466</v>
      </c>
      <c r="V201" s="66"/>
      <c r="W201" s="263"/>
      <c r="X201" s="264"/>
      <c r="Y201" s="67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143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</row>
    <row r="202" spans="1:54" ht="15" customHeight="1" x14ac:dyDescent="0.25">
      <c r="A202" s="324"/>
      <c r="B202" s="138" t="s">
        <v>314</v>
      </c>
      <c r="C202" s="144">
        <v>6</v>
      </c>
      <c r="D202" s="287" t="s">
        <v>414</v>
      </c>
      <c r="E202" s="260"/>
      <c r="F202" s="80" t="s">
        <v>454</v>
      </c>
      <c r="G202" s="81" t="s">
        <v>301</v>
      </c>
      <c r="H202" s="82"/>
      <c r="I202" s="80"/>
      <c r="J202" s="83"/>
      <c r="K202" s="84" t="s">
        <v>449</v>
      </c>
      <c r="L202" s="337" t="s">
        <v>464</v>
      </c>
      <c r="M202" s="260"/>
      <c r="N202" s="85" t="s">
        <v>301</v>
      </c>
      <c r="O202" s="287"/>
      <c r="P202" s="260"/>
      <c r="Q202" s="80"/>
      <c r="R202" s="81"/>
      <c r="S202" s="128" t="s">
        <v>148</v>
      </c>
      <c r="T202" s="129" t="s">
        <v>312</v>
      </c>
      <c r="U202" s="85" t="s">
        <v>466</v>
      </c>
      <c r="V202" s="89"/>
      <c r="W202" s="259"/>
      <c r="X202" s="260"/>
      <c r="Y202" s="90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143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</row>
    <row r="203" spans="1:54" ht="15" customHeight="1" x14ac:dyDescent="0.25">
      <c r="A203" s="325" t="s">
        <v>403</v>
      </c>
      <c r="B203" s="91" t="s">
        <v>291</v>
      </c>
      <c r="C203" s="92">
        <v>1</v>
      </c>
      <c r="D203" s="288" t="s">
        <v>449</v>
      </c>
      <c r="E203" s="270"/>
      <c r="F203" s="99" t="s">
        <v>452</v>
      </c>
      <c r="G203" s="147" t="s">
        <v>301</v>
      </c>
      <c r="H203" s="168"/>
      <c r="I203" s="169"/>
      <c r="J203" s="146"/>
      <c r="K203" s="184" t="s">
        <v>422</v>
      </c>
      <c r="L203" s="338" t="s">
        <v>350</v>
      </c>
      <c r="M203" s="270"/>
      <c r="N203" s="171" t="s">
        <v>301</v>
      </c>
      <c r="O203" s="288"/>
      <c r="P203" s="270"/>
      <c r="Q203" s="99"/>
      <c r="R203" s="147"/>
      <c r="S203" s="98" t="s">
        <v>357</v>
      </c>
      <c r="T203" s="130" t="s">
        <v>411</v>
      </c>
      <c r="U203" s="100" t="s">
        <v>466</v>
      </c>
      <c r="V203" s="150"/>
      <c r="W203" s="269"/>
      <c r="X203" s="270"/>
      <c r="Y203" s="151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143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</row>
    <row r="204" spans="1:54" ht="15" customHeight="1" x14ac:dyDescent="0.25">
      <c r="A204" s="323"/>
      <c r="B204" s="54" t="s">
        <v>295</v>
      </c>
      <c r="C204" s="55">
        <v>2</v>
      </c>
      <c r="D204" s="280" t="s">
        <v>449</v>
      </c>
      <c r="E204" s="264"/>
      <c r="F204" s="56" t="s">
        <v>452</v>
      </c>
      <c r="G204" s="57" t="s">
        <v>301</v>
      </c>
      <c r="H204" s="69"/>
      <c r="I204" s="70"/>
      <c r="J204" s="71"/>
      <c r="K204" s="185" t="s">
        <v>422</v>
      </c>
      <c r="L204" s="335" t="s">
        <v>350</v>
      </c>
      <c r="M204" s="264"/>
      <c r="N204" s="62" t="s">
        <v>301</v>
      </c>
      <c r="O204" s="280"/>
      <c r="P204" s="264"/>
      <c r="Q204" s="56"/>
      <c r="R204" s="57"/>
      <c r="S204" s="63" t="s">
        <v>357</v>
      </c>
      <c r="T204" s="64" t="s">
        <v>411</v>
      </c>
      <c r="U204" s="77" t="s">
        <v>466</v>
      </c>
      <c r="V204" s="132"/>
      <c r="W204" s="263"/>
      <c r="X204" s="264"/>
      <c r="Y204" s="67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143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</row>
    <row r="205" spans="1:54" ht="15" customHeight="1" x14ac:dyDescent="0.25">
      <c r="A205" s="323"/>
      <c r="B205" s="54" t="s">
        <v>302</v>
      </c>
      <c r="C205" s="55">
        <v>3</v>
      </c>
      <c r="D205" s="280" t="s">
        <v>449</v>
      </c>
      <c r="E205" s="264"/>
      <c r="F205" s="56" t="s">
        <v>452</v>
      </c>
      <c r="G205" s="57" t="s">
        <v>301</v>
      </c>
      <c r="H205" s="69"/>
      <c r="I205" s="70"/>
      <c r="J205" s="71"/>
      <c r="K205" s="185" t="s">
        <v>422</v>
      </c>
      <c r="L205" s="335" t="s">
        <v>350</v>
      </c>
      <c r="M205" s="264"/>
      <c r="N205" s="62" t="s">
        <v>301</v>
      </c>
      <c r="O205" s="280"/>
      <c r="P205" s="264"/>
      <c r="Q205" s="56"/>
      <c r="R205" s="57"/>
      <c r="S205" s="63" t="s">
        <v>357</v>
      </c>
      <c r="T205" s="64" t="s">
        <v>411</v>
      </c>
      <c r="U205" s="62" t="s">
        <v>466</v>
      </c>
      <c r="V205" s="132"/>
      <c r="W205" s="263"/>
      <c r="X205" s="264"/>
      <c r="Y205" s="67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152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</row>
    <row r="206" spans="1:54" ht="15" customHeight="1" x14ac:dyDescent="0.25">
      <c r="A206" s="323"/>
      <c r="B206" s="54" t="s">
        <v>305</v>
      </c>
      <c r="C206" s="55">
        <v>4</v>
      </c>
      <c r="D206" s="280" t="s">
        <v>449</v>
      </c>
      <c r="E206" s="264"/>
      <c r="F206" s="56" t="s">
        <v>452</v>
      </c>
      <c r="G206" s="57" t="s">
        <v>301</v>
      </c>
      <c r="H206" s="69"/>
      <c r="I206" s="70"/>
      <c r="J206" s="71"/>
      <c r="K206" s="185" t="s">
        <v>422</v>
      </c>
      <c r="L206" s="335" t="s">
        <v>350</v>
      </c>
      <c r="M206" s="264"/>
      <c r="N206" s="62" t="s">
        <v>301</v>
      </c>
      <c r="O206" s="280"/>
      <c r="P206" s="264"/>
      <c r="Q206" s="56"/>
      <c r="R206" s="57"/>
      <c r="S206" s="63" t="s">
        <v>335</v>
      </c>
      <c r="T206" s="64" t="s">
        <v>424</v>
      </c>
      <c r="U206" s="65" t="s">
        <v>466</v>
      </c>
      <c r="V206" s="66"/>
      <c r="W206" s="263"/>
      <c r="X206" s="264"/>
      <c r="Y206" s="67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8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</row>
    <row r="207" spans="1:54" ht="15" customHeight="1" x14ac:dyDescent="0.25">
      <c r="A207" s="323"/>
      <c r="B207" s="78" t="s">
        <v>308</v>
      </c>
      <c r="C207" s="75"/>
      <c r="D207" s="280"/>
      <c r="E207" s="266"/>
      <c r="F207" s="266"/>
      <c r="G207" s="283"/>
      <c r="H207" s="332" t="s">
        <v>309</v>
      </c>
      <c r="I207" s="266"/>
      <c r="J207" s="333"/>
      <c r="K207" s="334"/>
      <c r="L207" s="266"/>
      <c r="M207" s="266"/>
      <c r="N207" s="267"/>
      <c r="O207" s="265"/>
      <c r="P207" s="266"/>
      <c r="Q207" s="266"/>
      <c r="R207" s="283"/>
      <c r="S207" s="265" t="s">
        <v>309</v>
      </c>
      <c r="T207" s="266"/>
      <c r="U207" s="267"/>
      <c r="V207" s="268"/>
      <c r="W207" s="266"/>
      <c r="X207" s="266"/>
      <c r="Y207" s="267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143" t="s">
        <v>461</v>
      </c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</row>
    <row r="208" spans="1:54" ht="15" customHeight="1" x14ac:dyDescent="0.25">
      <c r="A208" s="323"/>
      <c r="B208" s="76" t="s">
        <v>311</v>
      </c>
      <c r="C208" s="55">
        <v>5</v>
      </c>
      <c r="D208" s="280" t="s">
        <v>449</v>
      </c>
      <c r="E208" s="264"/>
      <c r="F208" s="56" t="s">
        <v>452</v>
      </c>
      <c r="G208" s="57" t="s">
        <v>301</v>
      </c>
      <c r="H208" s="69"/>
      <c r="I208" s="70"/>
      <c r="J208" s="71"/>
      <c r="K208" s="185" t="s">
        <v>422</v>
      </c>
      <c r="L208" s="335" t="s">
        <v>350</v>
      </c>
      <c r="M208" s="264"/>
      <c r="N208" s="62" t="s">
        <v>301</v>
      </c>
      <c r="O208" s="280"/>
      <c r="P208" s="264"/>
      <c r="Q208" s="56"/>
      <c r="R208" s="57"/>
      <c r="S208" s="63" t="s">
        <v>335</v>
      </c>
      <c r="T208" s="64" t="s">
        <v>424</v>
      </c>
      <c r="U208" s="65" t="s">
        <v>466</v>
      </c>
      <c r="V208" s="66"/>
      <c r="W208" s="263"/>
      <c r="X208" s="264"/>
      <c r="Y208" s="67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143" t="s">
        <v>462</v>
      </c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</row>
    <row r="209" spans="1:54" ht="15" customHeight="1" x14ac:dyDescent="0.25">
      <c r="A209" s="323"/>
      <c r="B209" s="76" t="s">
        <v>314</v>
      </c>
      <c r="C209" s="55">
        <v>6</v>
      </c>
      <c r="D209" s="280" t="s">
        <v>414</v>
      </c>
      <c r="E209" s="264"/>
      <c r="F209" s="56" t="s">
        <v>454</v>
      </c>
      <c r="G209" s="57" t="s">
        <v>301</v>
      </c>
      <c r="H209" s="69"/>
      <c r="I209" s="70"/>
      <c r="J209" s="71"/>
      <c r="K209" s="185" t="s">
        <v>422</v>
      </c>
      <c r="L209" s="335" t="s">
        <v>350</v>
      </c>
      <c r="M209" s="264"/>
      <c r="N209" s="62" t="s">
        <v>301</v>
      </c>
      <c r="O209" s="280"/>
      <c r="P209" s="264"/>
      <c r="Q209" s="56"/>
      <c r="R209" s="57"/>
      <c r="S209" s="63" t="s">
        <v>341</v>
      </c>
      <c r="T209" s="64" t="s">
        <v>465</v>
      </c>
      <c r="U209" s="62" t="s">
        <v>466</v>
      </c>
      <c r="V209" s="66"/>
      <c r="W209" s="263"/>
      <c r="X209" s="264"/>
      <c r="Y209" s="67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</row>
    <row r="210" spans="1:54" ht="15" customHeight="1" x14ac:dyDescent="0.25">
      <c r="A210" s="326"/>
      <c r="B210" s="153" t="s">
        <v>321</v>
      </c>
      <c r="C210" s="154">
        <v>7</v>
      </c>
      <c r="D210" s="281" t="s">
        <v>414</v>
      </c>
      <c r="E210" s="282"/>
      <c r="F210" s="156" t="s">
        <v>454</v>
      </c>
      <c r="G210" s="160" t="s">
        <v>301</v>
      </c>
      <c r="H210" s="186"/>
      <c r="I210" s="187"/>
      <c r="J210" s="188"/>
      <c r="K210" s="189" t="s">
        <v>422</v>
      </c>
      <c r="L210" s="336" t="s">
        <v>350</v>
      </c>
      <c r="M210" s="282"/>
      <c r="N210" s="159" t="s">
        <v>301</v>
      </c>
      <c r="O210" s="281"/>
      <c r="P210" s="282"/>
      <c r="Q210" s="156"/>
      <c r="R210" s="160"/>
      <c r="S210" s="161" t="s">
        <v>341</v>
      </c>
      <c r="T210" s="162" t="s">
        <v>465</v>
      </c>
      <c r="U210" s="159" t="s">
        <v>466</v>
      </c>
      <c r="V210" s="163"/>
      <c r="W210" s="284"/>
      <c r="X210" s="282"/>
      <c r="Y210" s="164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</row>
    <row r="211" spans="1:54" ht="15.7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</row>
    <row r="212" spans="1:54" ht="15.7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</row>
    <row r="213" spans="1:54" ht="15.7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</row>
    <row r="214" spans="1:54" ht="15.7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</row>
    <row r="215" spans="1:54" ht="15.7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</row>
    <row r="216" spans="1:54" ht="15.7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9" t="s">
        <v>359</v>
      </c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</row>
    <row r="217" spans="1:54" ht="15.7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133" t="s">
        <v>360</v>
      </c>
      <c r="AB217" s="134"/>
      <c r="AC217" s="134"/>
      <c r="AD217" s="135">
        <v>1</v>
      </c>
      <c r="AE217" s="135">
        <v>2</v>
      </c>
      <c r="AF217" s="135">
        <v>3</v>
      </c>
      <c r="AG217" s="135">
        <v>4</v>
      </c>
      <c r="AH217" s="135">
        <v>5</v>
      </c>
      <c r="AI217" s="135">
        <v>6</v>
      </c>
      <c r="AJ217" s="135">
        <v>7</v>
      </c>
      <c r="AK217" s="135">
        <v>8</v>
      </c>
      <c r="AL217" s="135">
        <v>9</v>
      </c>
      <c r="AM217" s="135">
        <v>10</v>
      </c>
      <c r="AN217" s="135">
        <v>11</v>
      </c>
      <c r="AO217" s="135">
        <v>12</v>
      </c>
      <c r="AP217" s="135">
        <v>13</v>
      </c>
      <c r="AQ217" s="135">
        <v>14</v>
      </c>
      <c r="AR217" s="135">
        <v>15</v>
      </c>
      <c r="AS217" s="135">
        <v>16</v>
      </c>
      <c r="AT217" s="135">
        <v>17</v>
      </c>
      <c r="AU217" s="135">
        <v>18</v>
      </c>
      <c r="AV217" s="135">
        <v>19</v>
      </c>
      <c r="AW217" s="135">
        <v>20</v>
      </c>
      <c r="AX217" s="136">
        <v>21</v>
      </c>
      <c r="AY217" s="35"/>
      <c r="AZ217" s="35"/>
      <c r="BA217" s="35"/>
      <c r="BB217" s="35"/>
    </row>
    <row r="218" spans="1:54" ht="15.7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271" t="s">
        <v>361</v>
      </c>
      <c r="AB218" s="272"/>
      <c r="AC218" s="273"/>
      <c r="AD218" s="252" t="s">
        <v>459</v>
      </c>
      <c r="AE218" s="252" t="s">
        <v>363</v>
      </c>
      <c r="AF218" s="252" t="s">
        <v>364</v>
      </c>
      <c r="AG218" s="252" t="s">
        <v>365</v>
      </c>
      <c r="AH218" s="252" t="s">
        <v>366</v>
      </c>
      <c r="AI218" s="252" t="s">
        <v>367</v>
      </c>
      <c r="AJ218" s="255" t="s">
        <v>368</v>
      </c>
      <c r="AK218" s="252" t="s">
        <v>369</v>
      </c>
      <c r="AL218" s="252" t="s">
        <v>370</v>
      </c>
      <c r="AM218" s="252" t="s">
        <v>371</v>
      </c>
      <c r="AN218" s="252" t="s">
        <v>372</v>
      </c>
      <c r="AO218" s="252" t="s">
        <v>373</v>
      </c>
      <c r="AP218" s="252" t="s">
        <v>374</v>
      </c>
      <c r="AQ218" s="252" t="s">
        <v>375</v>
      </c>
      <c r="AR218" s="252" t="s">
        <v>376</v>
      </c>
      <c r="AS218" s="252" t="s">
        <v>377</v>
      </c>
      <c r="AT218" s="252" t="s">
        <v>378</v>
      </c>
      <c r="AU218" s="252" t="s">
        <v>379</v>
      </c>
      <c r="AV218" s="252" t="s">
        <v>380</v>
      </c>
      <c r="AW218" s="252" t="s">
        <v>381</v>
      </c>
      <c r="AX218" s="256" t="s">
        <v>382</v>
      </c>
      <c r="AY218" s="35"/>
      <c r="AZ218" s="35"/>
      <c r="BA218" s="35"/>
      <c r="BB218" s="35"/>
    </row>
    <row r="219" spans="1:54" ht="15.7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274"/>
      <c r="AB219" s="275"/>
      <c r="AC219" s="276"/>
      <c r="AD219" s="253"/>
      <c r="AE219" s="253"/>
      <c r="AF219" s="253"/>
      <c r="AG219" s="253"/>
      <c r="AH219" s="253"/>
      <c r="AI219" s="253"/>
      <c r="AJ219" s="253"/>
      <c r="AK219" s="253"/>
      <c r="AL219" s="253"/>
      <c r="AM219" s="253"/>
      <c r="AN219" s="253"/>
      <c r="AO219" s="253"/>
      <c r="AP219" s="253"/>
      <c r="AQ219" s="253"/>
      <c r="AR219" s="253"/>
      <c r="AS219" s="253"/>
      <c r="AT219" s="253"/>
      <c r="AU219" s="253"/>
      <c r="AV219" s="253"/>
      <c r="AW219" s="253"/>
      <c r="AX219" s="257"/>
      <c r="AY219" s="35"/>
      <c r="AZ219" s="35"/>
      <c r="BA219" s="35"/>
      <c r="BB219" s="35"/>
    </row>
    <row r="220" spans="1:54" ht="15.7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274"/>
      <c r="AB220" s="275"/>
      <c r="AC220" s="276"/>
      <c r="AD220" s="253"/>
      <c r="AE220" s="253"/>
      <c r="AF220" s="253"/>
      <c r="AG220" s="253"/>
      <c r="AH220" s="253"/>
      <c r="AI220" s="253"/>
      <c r="AJ220" s="253"/>
      <c r="AK220" s="253"/>
      <c r="AL220" s="253"/>
      <c r="AM220" s="253"/>
      <c r="AN220" s="253"/>
      <c r="AO220" s="253"/>
      <c r="AP220" s="253"/>
      <c r="AQ220" s="253"/>
      <c r="AR220" s="253"/>
      <c r="AS220" s="253"/>
      <c r="AT220" s="253"/>
      <c r="AU220" s="253"/>
      <c r="AV220" s="253"/>
      <c r="AW220" s="253"/>
      <c r="AX220" s="257"/>
      <c r="AY220" s="35"/>
      <c r="AZ220" s="35"/>
      <c r="BA220" s="35"/>
      <c r="BB220" s="35"/>
    </row>
    <row r="221" spans="1:54" ht="15.7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274"/>
      <c r="AB221" s="275"/>
      <c r="AC221" s="276"/>
      <c r="AD221" s="253"/>
      <c r="AE221" s="253"/>
      <c r="AF221" s="253"/>
      <c r="AG221" s="253"/>
      <c r="AH221" s="253"/>
      <c r="AI221" s="253"/>
      <c r="AJ221" s="253"/>
      <c r="AK221" s="253"/>
      <c r="AL221" s="253"/>
      <c r="AM221" s="253"/>
      <c r="AN221" s="253"/>
      <c r="AO221" s="253"/>
      <c r="AP221" s="253"/>
      <c r="AQ221" s="253"/>
      <c r="AR221" s="253"/>
      <c r="AS221" s="253"/>
      <c r="AT221" s="253"/>
      <c r="AU221" s="253"/>
      <c r="AV221" s="253"/>
      <c r="AW221" s="253"/>
      <c r="AX221" s="257"/>
      <c r="AY221" s="35"/>
      <c r="AZ221" s="35"/>
      <c r="BA221" s="35"/>
      <c r="BB221" s="35"/>
    </row>
    <row r="222" spans="1:54" ht="15.7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274"/>
      <c r="AB222" s="275"/>
      <c r="AC222" s="276"/>
      <c r="AD222" s="253"/>
      <c r="AE222" s="253"/>
      <c r="AF222" s="253"/>
      <c r="AG222" s="253"/>
      <c r="AH222" s="253"/>
      <c r="AI222" s="253"/>
      <c r="AJ222" s="253"/>
      <c r="AK222" s="253"/>
      <c r="AL222" s="253"/>
      <c r="AM222" s="253"/>
      <c r="AN222" s="253"/>
      <c r="AO222" s="253"/>
      <c r="AP222" s="253"/>
      <c r="AQ222" s="253"/>
      <c r="AR222" s="253"/>
      <c r="AS222" s="253"/>
      <c r="AT222" s="253"/>
      <c r="AU222" s="253"/>
      <c r="AV222" s="253"/>
      <c r="AW222" s="253"/>
      <c r="AX222" s="257"/>
      <c r="AY222" s="35"/>
      <c r="AZ222" s="35"/>
      <c r="BA222" s="35"/>
      <c r="BB222" s="35"/>
    </row>
    <row r="223" spans="1:54" ht="15.7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274"/>
      <c r="AB223" s="275"/>
      <c r="AC223" s="276"/>
      <c r="AD223" s="253"/>
      <c r="AE223" s="253"/>
      <c r="AF223" s="253"/>
      <c r="AG223" s="253"/>
      <c r="AH223" s="253"/>
      <c r="AI223" s="253"/>
      <c r="AJ223" s="253"/>
      <c r="AK223" s="253"/>
      <c r="AL223" s="253"/>
      <c r="AM223" s="253"/>
      <c r="AN223" s="253"/>
      <c r="AO223" s="253"/>
      <c r="AP223" s="253"/>
      <c r="AQ223" s="253"/>
      <c r="AR223" s="253"/>
      <c r="AS223" s="253"/>
      <c r="AT223" s="253"/>
      <c r="AU223" s="253"/>
      <c r="AV223" s="253"/>
      <c r="AW223" s="253"/>
      <c r="AX223" s="257"/>
      <c r="AY223" s="35"/>
      <c r="AZ223" s="35"/>
      <c r="BA223" s="35"/>
      <c r="BB223" s="35"/>
    </row>
    <row r="224" spans="1:54" ht="15.7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277"/>
      <c r="AB224" s="278"/>
      <c r="AC224" s="279"/>
      <c r="AD224" s="253"/>
      <c r="AE224" s="253"/>
      <c r="AF224" s="253"/>
      <c r="AG224" s="253"/>
      <c r="AH224" s="253"/>
      <c r="AI224" s="253"/>
      <c r="AJ224" s="253"/>
      <c r="AK224" s="253"/>
      <c r="AL224" s="253"/>
      <c r="AM224" s="253"/>
      <c r="AN224" s="253"/>
      <c r="AO224" s="253"/>
      <c r="AP224" s="253"/>
      <c r="AQ224" s="253"/>
      <c r="AR224" s="253"/>
      <c r="AS224" s="253"/>
      <c r="AT224" s="253"/>
      <c r="AU224" s="253"/>
      <c r="AV224" s="253"/>
      <c r="AW224" s="253"/>
      <c r="AX224" s="257"/>
      <c r="AY224" s="35"/>
      <c r="AZ224" s="35"/>
      <c r="BA224" s="35"/>
      <c r="BB224" s="35"/>
    </row>
    <row r="225" spans="1:54" ht="15.7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16" t="s">
        <v>384</v>
      </c>
      <c r="AB225" s="317"/>
      <c r="AC225" s="318"/>
      <c r="AD225" s="254"/>
      <c r="AE225" s="254"/>
      <c r="AF225" s="254"/>
      <c r="AG225" s="254"/>
      <c r="AH225" s="254"/>
      <c r="AI225" s="254"/>
      <c r="AJ225" s="254"/>
      <c r="AK225" s="254"/>
      <c r="AL225" s="254"/>
      <c r="AM225" s="254"/>
      <c r="AN225" s="254"/>
      <c r="AO225" s="254"/>
      <c r="AP225" s="254"/>
      <c r="AQ225" s="254"/>
      <c r="AR225" s="254"/>
      <c r="AS225" s="254"/>
      <c r="AT225" s="254"/>
      <c r="AU225" s="254"/>
      <c r="AV225" s="254"/>
      <c r="AW225" s="254"/>
      <c r="AX225" s="258"/>
      <c r="AY225" s="35"/>
      <c r="AZ225" s="35"/>
      <c r="BA225" s="35"/>
      <c r="BB225" s="35"/>
    </row>
    <row r="226" spans="1:54" ht="15.7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19" t="s">
        <v>385</v>
      </c>
      <c r="AB226" s="320"/>
      <c r="AC226" s="321"/>
      <c r="AD226" s="285" t="s">
        <v>387</v>
      </c>
      <c r="AE226" s="315" t="s">
        <v>386</v>
      </c>
      <c r="AF226" s="285" t="s">
        <v>387</v>
      </c>
      <c r="AG226" s="315" t="s">
        <v>386</v>
      </c>
      <c r="AH226" s="285" t="s">
        <v>387</v>
      </c>
      <c r="AI226" s="315" t="s">
        <v>386</v>
      </c>
      <c r="AJ226" s="285" t="s">
        <v>387</v>
      </c>
      <c r="AK226" s="315" t="s">
        <v>386</v>
      </c>
      <c r="AL226" s="285" t="s">
        <v>387</v>
      </c>
      <c r="AM226" s="296" t="s">
        <v>388</v>
      </c>
      <c r="AN226" s="315" t="s">
        <v>386</v>
      </c>
      <c r="AO226" s="285" t="s">
        <v>387</v>
      </c>
      <c r="AP226" s="315" t="s">
        <v>386</v>
      </c>
      <c r="AQ226" s="285" t="s">
        <v>387</v>
      </c>
      <c r="AR226" s="315" t="s">
        <v>386</v>
      </c>
      <c r="AS226" s="285" t="s">
        <v>387</v>
      </c>
      <c r="AT226" s="315" t="s">
        <v>386</v>
      </c>
      <c r="AU226" s="285" t="s">
        <v>387</v>
      </c>
      <c r="AV226" s="315" t="s">
        <v>386</v>
      </c>
      <c r="AW226" s="285" t="s">
        <v>387</v>
      </c>
      <c r="AX226" s="297" t="s">
        <v>389</v>
      </c>
      <c r="AY226" s="35"/>
      <c r="AZ226" s="35"/>
      <c r="BA226" s="35"/>
      <c r="BB226" s="35"/>
    </row>
    <row r="227" spans="1:54" ht="15.7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00"/>
      <c r="AB227" s="301"/>
      <c r="AC227" s="302"/>
      <c r="AD227" s="250"/>
      <c r="AE227" s="250"/>
      <c r="AF227" s="250"/>
      <c r="AG227" s="250"/>
      <c r="AH227" s="250"/>
      <c r="AI227" s="250"/>
      <c r="AJ227" s="250"/>
      <c r="AK227" s="250"/>
      <c r="AL227" s="250"/>
      <c r="AM227" s="253"/>
      <c r="AN227" s="250"/>
      <c r="AO227" s="250"/>
      <c r="AP227" s="250"/>
      <c r="AQ227" s="250"/>
      <c r="AR227" s="250"/>
      <c r="AS227" s="250"/>
      <c r="AT227" s="250"/>
      <c r="AU227" s="250"/>
      <c r="AV227" s="250"/>
      <c r="AW227" s="250"/>
      <c r="AX227" s="257"/>
      <c r="AY227" s="35"/>
      <c r="AZ227" s="35"/>
      <c r="BA227" s="35"/>
      <c r="BB227" s="35"/>
    </row>
    <row r="228" spans="1:54" ht="15.7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299" t="s">
        <v>392</v>
      </c>
      <c r="AB228" s="272"/>
      <c r="AC228" s="273"/>
      <c r="AD228" s="249" t="s">
        <v>387</v>
      </c>
      <c r="AE228" s="251" t="s">
        <v>386</v>
      </c>
      <c r="AF228" s="249" t="s">
        <v>387</v>
      </c>
      <c r="AG228" s="251" t="s">
        <v>386</v>
      </c>
      <c r="AH228" s="249" t="s">
        <v>387</v>
      </c>
      <c r="AI228" s="251" t="s">
        <v>386</v>
      </c>
      <c r="AJ228" s="249" t="s">
        <v>387</v>
      </c>
      <c r="AK228" s="251" t="s">
        <v>386</v>
      </c>
      <c r="AL228" s="249" t="s">
        <v>387</v>
      </c>
      <c r="AM228" s="253"/>
      <c r="AN228" s="251" t="s">
        <v>386</v>
      </c>
      <c r="AO228" s="249" t="s">
        <v>387</v>
      </c>
      <c r="AP228" s="251" t="s">
        <v>386</v>
      </c>
      <c r="AQ228" s="249" t="s">
        <v>387</v>
      </c>
      <c r="AR228" s="251" t="s">
        <v>386</v>
      </c>
      <c r="AS228" s="249" t="s">
        <v>387</v>
      </c>
      <c r="AT228" s="251" t="s">
        <v>386</v>
      </c>
      <c r="AU228" s="249" t="s">
        <v>387</v>
      </c>
      <c r="AV228" s="251" t="s">
        <v>386</v>
      </c>
      <c r="AW228" s="249" t="s">
        <v>387</v>
      </c>
      <c r="AX228" s="257"/>
      <c r="AY228" s="35"/>
      <c r="AZ228" s="35"/>
      <c r="BA228" s="35"/>
      <c r="BB228" s="35"/>
    </row>
    <row r="229" spans="1:54" ht="15.7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00"/>
      <c r="AB229" s="301"/>
      <c r="AC229" s="302"/>
      <c r="AD229" s="250"/>
      <c r="AE229" s="250"/>
      <c r="AF229" s="250"/>
      <c r="AG229" s="250"/>
      <c r="AH229" s="250"/>
      <c r="AI229" s="250"/>
      <c r="AJ229" s="250"/>
      <c r="AK229" s="250"/>
      <c r="AL229" s="250"/>
      <c r="AM229" s="253"/>
      <c r="AN229" s="250"/>
      <c r="AO229" s="250"/>
      <c r="AP229" s="250"/>
      <c r="AQ229" s="250"/>
      <c r="AR229" s="250"/>
      <c r="AS229" s="250"/>
      <c r="AT229" s="250"/>
      <c r="AU229" s="250"/>
      <c r="AV229" s="250"/>
      <c r="AW229" s="250"/>
      <c r="AX229" s="257"/>
      <c r="AY229" s="35"/>
      <c r="AZ229" s="35"/>
      <c r="BA229" s="35"/>
      <c r="BB229" s="35"/>
    </row>
    <row r="230" spans="1:54" ht="15.7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299" t="s">
        <v>392</v>
      </c>
      <c r="AB230" s="272"/>
      <c r="AC230" s="273"/>
      <c r="AD230" s="251" t="s">
        <v>386</v>
      </c>
      <c r="AE230" s="249" t="s">
        <v>387</v>
      </c>
      <c r="AF230" s="251" t="s">
        <v>386</v>
      </c>
      <c r="AG230" s="249" t="s">
        <v>387</v>
      </c>
      <c r="AH230" s="251" t="s">
        <v>386</v>
      </c>
      <c r="AI230" s="249" t="s">
        <v>387</v>
      </c>
      <c r="AJ230" s="251" t="s">
        <v>386</v>
      </c>
      <c r="AK230" s="249" t="s">
        <v>387</v>
      </c>
      <c r="AL230" s="251" t="s">
        <v>386</v>
      </c>
      <c r="AM230" s="253"/>
      <c r="AN230" s="249" t="s">
        <v>387</v>
      </c>
      <c r="AO230" s="251" t="s">
        <v>386</v>
      </c>
      <c r="AP230" s="249" t="s">
        <v>387</v>
      </c>
      <c r="AQ230" s="251" t="s">
        <v>386</v>
      </c>
      <c r="AR230" s="249" t="s">
        <v>387</v>
      </c>
      <c r="AS230" s="251" t="s">
        <v>386</v>
      </c>
      <c r="AT230" s="249" t="s">
        <v>387</v>
      </c>
      <c r="AU230" s="251" t="s">
        <v>386</v>
      </c>
      <c r="AV230" s="249" t="s">
        <v>387</v>
      </c>
      <c r="AW230" s="251" t="s">
        <v>386</v>
      </c>
      <c r="AX230" s="257"/>
      <c r="AY230" s="35"/>
      <c r="AZ230" s="35"/>
      <c r="BA230" s="35"/>
      <c r="BB230" s="35"/>
    </row>
    <row r="231" spans="1:54" ht="15.7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03"/>
      <c r="AB231" s="304"/>
      <c r="AC231" s="305"/>
      <c r="AD231" s="295"/>
      <c r="AE231" s="295"/>
      <c r="AF231" s="295"/>
      <c r="AG231" s="295"/>
      <c r="AH231" s="295"/>
      <c r="AI231" s="295"/>
      <c r="AJ231" s="295"/>
      <c r="AK231" s="295"/>
      <c r="AL231" s="295"/>
      <c r="AM231" s="295"/>
      <c r="AN231" s="295"/>
      <c r="AO231" s="295"/>
      <c r="AP231" s="295"/>
      <c r="AQ231" s="295"/>
      <c r="AR231" s="295"/>
      <c r="AS231" s="295"/>
      <c r="AT231" s="295"/>
      <c r="AU231" s="295"/>
      <c r="AV231" s="295"/>
      <c r="AW231" s="295"/>
      <c r="AX231" s="298"/>
      <c r="AY231" s="35"/>
      <c r="AZ231" s="35"/>
      <c r="BA231" s="35"/>
      <c r="BB231" s="35"/>
    </row>
    <row r="232" spans="1:54" ht="15.7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</row>
    <row r="233" spans="1:54" ht="15.7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</row>
    <row r="234" spans="1:54" ht="15.7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</row>
    <row r="235" spans="1:54" ht="15.7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</row>
    <row r="236" spans="1:54" ht="15.7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</row>
    <row r="237" spans="1:54" ht="15.7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</row>
    <row r="238" spans="1:54" ht="15.7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</row>
    <row r="239" spans="1:54" ht="15.7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</row>
    <row r="240" spans="1:54" ht="15.7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</row>
    <row r="241" spans="1:54" ht="15.7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</row>
    <row r="242" spans="1:54" ht="15.7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</row>
    <row r="243" spans="1:54" ht="15.7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</row>
    <row r="244" spans="1:54" ht="15.7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</row>
    <row r="245" spans="1:54" ht="15.7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</row>
    <row r="246" spans="1:54" ht="15.7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</row>
    <row r="247" spans="1:54" ht="15.7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</row>
    <row r="248" spans="1:54" ht="15.7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</row>
    <row r="249" spans="1:54" ht="15.7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</row>
    <row r="250" spans="1:54" ht="15.7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</row>
    <row r="251" spans="1:54" ht="15.7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</row>
    <row r="252" spans="1:54" ht="15.7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</row>
    <row r="253" spans="1:54" ht="15.7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</row>
    <row r="254" spans="1:54" ht="15.7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</row>
    <row r="255" spans="1:54" ht="15.7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</row>
    <row r="256" spans="1:54" ht="15.7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</row>
    <row r="257" spans="1:54" ht="15.7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</row>
    <row r="258" spans="1:54" ht="15.7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</row>
    <row r="259" spans="1:54" ht="15.7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</row>
    <row r="260" spans="1:54" ht="15.7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</row>
    <row r="261" spans="1:54" ht="15.7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</row>
    <row r="262" spans="1:54" ht="15.7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</row>
    <row r="263" spans="1:54" ht="15.7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</row>
    <row r="264" spans="1:54" ht="15.7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</row>
    <row r="265" spans="1:54" ht="15.7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</row>
    <row r="266" spans="1:54" ht="15.7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</row>
    <row r="267" spans="1:54" ht="15.7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</row>
    <row r="268" spans="1:54" ht="15.7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</row>
    <row r="269" spans="1:54" ht="15.7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</row>
    <row r="270" spans="1:54" ht="15.7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</row>
    <row r="271" spans="1:54" ht="15.7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</row>
    <row r="272" spans="1:54" ht="15.7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</row>
    <row r="273" spans="1:54" ht="15.7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</row>
    <row r="274" spans="1:54" ht="15.7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</row>
    <row r="275" spans="1:54" ht="15.7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</row>
    <row r="276" spans="1:54" ht="15.7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</row>
    <row r="277" spans="1:54" ht="15.7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</row>
    <row r="278" spans="1:54" ht="15.7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</row>
    <row r="279" spans="1:54" ht="15.7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</row>
    <row r="280" spans="1:54" ht="15.7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</row>
    <row r="281" spans="1:54" ht="15.7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</row>
    <row r="282" spans="1:54" ht="15.7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</row>
    <row r="283" spans="1:54" ht="15.7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</row>
    <row r="284" spans="1:54" ht="15.7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</row>
    <row r="285" spans="1:54" ht="15.7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</row>
    <row r="286" spans="1:54" ht="15.7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</row>
    <row r="287" spans="1:54" ht="15.7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</row>
    <row r="288" spans="1:54" ht="15.7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</row>
    <row r="289" spans="1:54" ht="15.7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</row>
    <row r="290" spans="1:54" ht="15.7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</row>
    <row r="291" spans="1:54" ht="15.7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</row>
    <row r="292" spans="1:54" ht="15.7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</row>
    <row r="293" spans="1:54" ht="15.7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</row>
    <row r="294" spans="1:54" ht="15.7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</row>
    <row r="295" spans="1:54" ht="15.7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</row>
    <row r="296" spans="1:54" ht="15.7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</row>
    <row r="297" spans="1:54" ht="15.7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</row>
    <row r="298" spans="1:54" ht="15.7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</row>
    <row r="299" spans="1:54" ht="15.7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</row>
    <row r="300" spans="1:54" ht="15.7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</row>
    <row r="301" spans="1:54" ht="15.7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</row>
    <row r="302" spans="1:54" ht="15.7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</row>
    <row r="303" spans="1:54" ht="15.7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</row>
    <row r="304" spans="1:54" ht="15.7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</row>
    <row r="305" spans="1:54" ht="15.7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</row>
    <row r="306" spans="1:54" ht="15.7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</row>
    <row r="307" spans="1:54" ht="15.7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</row>
    <row r="308" spans="1:54" ht="15.7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</row>
    <row r="309" spans="1:54" ht="15.7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</row>
    <row r="310" spans="1:54" ht="15.7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</row>
    <row r="311" spans="1:54" ht="15.7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</row>
    <row r="312" spans="1:54" ht="15.7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</row>
    <row r="313" spans="1:54" ht="15.7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</row>
    <row r="314" spans="1:54" ht="15.7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</row>
    <row r="315" spans="1:54" ht="15.7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</row>
    <row r="316" spans="1:54" ht="15.7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</row>
    <row r="317" spans="1:54" ht="15.7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</row>
    <row r="318" spans="1:54" ht="15.7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</row>
    <row r="319" spans="1:54" ht="15.7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</row>
    <row r="320" spans="1:54" ht="15.7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</row>
    <row r="321" spans="1:54" ht="15.7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</row>
    <row r="322" spans="1:54" ht="15.7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</row>
    <row r="323" spans="1:54" ht="15.7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</row>
    <row r="324" spans="1:54" ht="15.7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</row>
    <row r="325" spans="1:54" ht="15.7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</row>
    <row r="326" spans="1:54" ht="15.7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</row>
    <row r="327" spans="1:54" ht="15.7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</row>
    <row r="328" spans="1:54" ht="15.7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</row>
    <row r="329" spans="1:54" ht="15.7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</row>
    <row r="330" spans="1:54" ht="15.7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</row>
    <row r="331" spans="1:54" ht="15.7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</row>
    <row r="332" spans="1:54" ht="15.7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</row>
    <row r="333" spans="1:54" ht="15.7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</row>
    <row r="334" spans="1:54" ht="15.7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</row>
    <row r="335" spans="1:54" ht="15.7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</row>
    <row r="336" spans="1:54" ht="15.7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</row>
    <row r="337" spans="1:54" ht="15.7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</row>
    <row r="338" spans="1:54" ht="15.7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</row>
    <row r="339" spans="1:54" ht="15.7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</row>
    <row r="340" spans="1:54" ht="15.7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</row>
    <row r="341" spans="1:54" ht="15.7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</row>
    <row r="342" spans="1:54" ht="15.7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</row>
    <row r="343" spans="1:54" ht="15.7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</row>
    <row r="344" spans="1:54" ht="15.7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</row>
    <row r="345" spans="1:54" ht="15.7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</row>
    <row r="346" spans="1:54" ht="15.7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</row>
    <row r="347" spans="1:54" ht="15.7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</row>
    <row r="348" spans="1:54" ht="15.7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</row>
    <row r="349" spans="1:54" ht="15.7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</row>
    <row r="350" spans="1:54" ht="15.7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</row>
    <row r="351" spans="1:54" ht="15.7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</row>
    <row r="352" spans="1:54" ht="15.7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</row>
    <row r="353" spans="1:54" ht="15.7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</row>
    <row r="354" spans="1:54" ht="15.7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</row>
    <row r="355" spans="1:54" ht="15.7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</row>
    <row r="356" spans="1:54" ht="15.7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</row>
    <row r="357" spans="1:54" ht="15.7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</row>
    <row r="358" spans="1:54" ht="15.7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</row>
    <row r="359" spans="1:54" ht="15.7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</row>
    <row r="360" spans="1:54" ht="15.7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</row>
    <row r="361" spans="1:54" ht="15.7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</row>
    <row r="362" spans="1:54" ht="15.7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</row>
    <row r="363" spans="1:54" ht="15.7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</row>
    <row r="364" spans="1:54" ht="15.7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</row>
    <row r="365" spans="1:54" ht="15.7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</row>
    <row r="366" spans="1:54" ht="15.7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</row>
    <row r="367" spans="1:54" ht="15.7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</row>
    <row r="368" spans="1:54" ht="15.7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</row>
    <row r="369" spans="1:54" ht="15.7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</row>
    <row r="370" spans="1:54" ht="15.7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</row>
    <row r="371" spans="1:54" ht="15.7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</row>
    <row r="372" spans="1:54" ht="15.7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</row>
    <row r="373" spans="1:54" ht="15.7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</row>
    <row r="374" spans="1:54" ht="15.7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</row>
    <row r="375" spans="1:54" ht="15.7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</row>
    <row r="376" spans="1:54" ht="15.7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</row>
    <row r="377" spans="1:54" ht="15.7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</row>
    <row r="378" spans="1:54" ht="15.7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</row>
    <row r="379" spans="1:54" ht="15.7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</row>
    <row r="380" spans="1:54" ht="15.7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</row>
    <row r="381" spans="1:54" ht="15.7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</row>
    <row r="382" spans="1:54" ht="15.7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</row>
    <row r="383" spans="1:54" ht="15.7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</row>
    <row r="384" spans="1:54" ht="15.7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</row>
    <row r="385" spans="1:54" ht="15.7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</row>
    <row r="386" spans="1:54" ht="15.7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</row>
    <row r="387" spans="1:54" ht="15.7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</row>
    <row r="388" spans="1:54" ht="15.7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</row>
    <row r="389" spans="1:54" ht="15.7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</row>
    <row r="390" spans="1:54" ht="15.7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</row>
    <row r="391" spans="1:54" ht="15.7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</row>
    <row r="392" spans="1:54" ht="15.7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</row>
    <row r="393" spans="1:54" ht="15.7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</row>
    <row r="394" spans="1:54" ht="15.7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</row>
    <row r="395" spans="1:54" ht="15.7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</row>
    <row r="396" spans="1:54" ht="15.7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</row>
    <row r="397" spans="1:54" ht="15.7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</row>
    <row r="398" spans="1:54" ht="15.7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</row>
    <row r="399" spans="1:54" ht="15.7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</row>
    <row r="400" spans="1:54" ht="15.7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</row>
    <row r="401" spans="1:54" ht="15.7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</row>
    <row r="402" spans="1:54" ht="15.7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</row>
    <row r="403" spans="1:54" ht="15.7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</row>
    <row r="404" spans="1:54" ht="15.7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</row>
    <row r="405" spans="1:54" ht="15.7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</row>
    <row r="406" spans="1:54" ht="15.7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</row>
    <row r="407" spans="1:54" ht="15.7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</row>
    <row r="408" spans="1:54" ht="15.7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</row>
    <row r="409" spans="1:54" ht="15.7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</row>
    <row r="410" spans="1:54" ht="15.7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</row>
    <row r="411" spans="1:54" ht="15.7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</row>
    <row r="412" spans="1:54" ht="15.7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</row>
    <row r="413" spans="1:54" ht="15.7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</row>
    <row r="414" spans="1:54" ht="15.7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</row>
    <row r="415" spans="1:54" ht="15.7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</row>
    <row r="416" spans="1:54" ht="15.7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</row>
    <row r="417" spans="1:54" ht="15.7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</row>
    <row r="418" spans="1:54" ht="15.7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</row>
    <row r="419" spans="1:54" ht="15.7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</row>
    <row r="420" spans="1:54" ht="15.7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</row>
    <row r="421" spans="1:54" ht="15.7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</row>
    <row r="422" spans="1:54" ht="15.7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</row>
    <row r="423" spans="1:54" ht="15.7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</row>
    <row r="424" spans="1:54" ht="15.7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</row>
    <row r="425" spans="1:54" ht="15.7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</row>
    <row r="426" spans="1:54" ht="15.7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</row>
    <row r="427" spans="1:54" ht="15.7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</row>
    <row r="428" spans="1:54" ht="15.7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</row>
    <row r="429" spans="1:54" ht="15.7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</row>
    <row r="430" spans="1:54" ht="15.7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</row>
    <row r="431" spans="1:54" ht="15.7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</row>
    <row r="432" spans="1:54" ht="15.7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</row>
    <row r="433" spans="1:54" ht="15.7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</row>
    <row r="434" spans="1:54" ht="15.7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</row>
    <row r="435" spans="1:54" ht="15.7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</row>
    <row r="436" spans="1:54" ht="15.7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</row>
    <row r="437" spans="1:54" ht="15.7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</row>
    <row r="438" spans="1:54" ht="15.7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</row>
    <row r="439" spans="1:54" ht="15.7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</row>
    <row r="440" spans="1:54" ht="15.7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</row>
    <row r="441" spans="1:54" ht="15.7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</row>
    <row r="442" spans="1:54" ht="15.7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</row>
    <row r="443" spans="1:54" ht="15.7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</row>
    <row r="444" spans="1:54" ht="15.7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</row>
    <row r="445" spans="1:54" ht="15.7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</row>
    <row r="446" spans="1:54" ht="15.7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</row>
    <row r="447" spans="1:54" ht="15.7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</row>
    <row r="448" spans="1:54" ht="15.7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</row>
    <row r="449" spans="1:54" ht="15.7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</row>
    <row r="450" spans="1:54" ht="15.7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</row>
    <row r="451" spans="1:54" ht="15.7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</row>
    <row r="452" spans="1:54" ht="15.7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</row>
    <row r="453" spans="1:54" ht="15.7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</row>
    <row r="454" spans="1:54" ht="15.7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</row>
    <row r="455" spans="1:54" ht="15.7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</row>
    <row r="456" spans="1:54" ht="15.7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</row>
    <row r="457" spans="1:54" ht="15.7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</row>
    <row r="458" spans="1:54" ht="15.7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</row>
    <row r="459" spans="1:54" ht="15.7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</row>
    <row r="460" spans="1:54" ht="15.7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</row>
    <row r="461" spans="1:54" ht="15.7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</row>
    <row r="462" spans="1:54" ht="15.7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</row>
    <row r="463" spans="1:54" ht="15.7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</row>
    <row r="464" spans="1:54" ht="15.7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</row>
    <row r="465" spans="1:54" ht="15.7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</row>
    <row r="466" spans="1:54" ht="15.7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</row>
    <row r="467" spans="1:54" ht="15.7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</row>
    <row r="468" spans="1:54" ht="15.7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</row>
    <row r="469" spans="1:54" ht="15.7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</row>
    <row r="470" spans="1:54" ht="15.7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</row>
    <row r="471" spans="1:54" ht="15.7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</row>
    <row r="472" spans="1:54" ht="15.7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</row>
    <row r="473" spans="1:54" ht="15.7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</row>
    <row r="474" spans="1:54" ht="15.7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</row>
    <row r="475" spans="1:54" ht="15.7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</row>
    <row r="476" spans="1:54" ht="15.7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</row>
    <row r="477" spans="1:54" ht="15.7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</row>
    <row r="478" spans="1:54" ht="15.7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</row>
    <row r="479" spans="1:54" ht="15.7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</row>
    <row r="480" spans="1:54" ht="15.7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</row>
    <row r="481" spans="1:54" ht="15.7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</row>
    <row r="482" spans="1:54" ht="15.7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</row>
    <row r="483" spans="1:54" ht="15.7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</row>
    <row r="484" spans="1:54" ht="15.7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</row>
    <row r="485" spans="1:54" ht="15.7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</row>
    <row r="486" spans="1:54" ht="15.7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</row>
    <row r="487" spans="1:54" ht="15.7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</row>
    <row r="488" spans="1:54" ht="15.7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</row>
    <row r="489" spans="1:54" ht="15.7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</row>
    <row r="490" spans="1:54" ht="15.7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</row>
    <row r="491" spans="1:54" ht="15.7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</row>
    <row r="492" spans="1:54" ht="15.7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</row>
    <row r="493" spans="1:54" ht="15.7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</row>
    <row r="494" spans="1:54" ht="15.7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</row>
    <row r="495" spans="1:54" ht="15.7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</row>
    <row r="496" spans="1:54" ht="15.7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</row>
    <row r="497" spans="1:54" ht="15.7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</row>
    <row r="498" spans="1:54" ht="15.7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</row>
    <row r="499" spans="1:54" ht="15.7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</row>
    <row r="500" spans="1:54" ht="15.7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</row>
    <row r="501" spans="1:54" ht="15.7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</row>
    <row r="502" spans="1:54" ht="15.7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</row>
    <row r="503" spans="1:54" ht="15.7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</row>
    <row r="504" spans="1:54" ht="15.7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</row>
    <row r="505" spans="1:54" ht="15.7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</row>
    <row r="506" spans="1:54" ht="15.7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</row>
    <row r="507" spans="1:54" ht="15.7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</row>
    <row r="508" spans="1:54" ht="15.7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</row>
    <row r="509" spans="1:54" ht="15.7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</row>
    <row r="510" spans="1:54" ht="15.7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</row>
    <row r="511" spans="1:54" ht="15.7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</row>
    <row r="512" spans="1:54" ht="15.7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</row>
    <row r="513" spans="1:54" ht="15.7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</row>
    <row r="514" spans="1:54" ht="15.7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</row>
    <row r="515" spans="1:54" ht="15.7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</row>
    <row r="516" spans="1:54" ht="15.7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</row>
    <row r="517" spans="1:54" ht="15.7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</row>
    <row r="518" spans="1:54" ht="15.7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</row>
    <row r="519" spans="1:54" ht="15.7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</row>
    <row r="520" spans="1:54" ht="15.7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</row>
    <row r="521" spans="1:54" ht="15.7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</row>
    <row r="522" spans="1:54" ht="15.7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</row>
    <row r="523" spans="1:54" ht="15.7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</row>
    <row r="524" spans="1:54" ht="15.7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</row>
    <row r="525" spans="1:54" ht="15.7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</row>
    <row r="526" spans="1:54" ht="15.7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</row>
    <row r="527" spans="1:54" ht="15.7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</row>
    <row r="528" spans="1:54" ht="15.7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</row>
    <row r="529" spans="1:54" ht="15.7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</row>
    <row r="530" spans="1:54" ht="15.7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</row>
    <row r="531" spans="1:54" ht="15.7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</row>
    <row r="532" spans="1:54" ht="15.7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</row>
    <row r="533" spans="1:54" ht="15.7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</row>
    <row r="534" spans="1:54" ht="15.7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</row>
    <row r="535" spans="1:54" ht="15.7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</row>
    <row r="536" spans="1:54" ht="15.7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</row>
    <row r="537" spans="1:54" ht="15.7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</row>
    <row r="538" spans="1:54" ht="15.7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</row>
    <row r="539" spans="1:54" ht="15.7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</row>
    <row r="540" spans="1:54" ht="15.7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</row>
    <row r="541" spans="1:54" ht="15.7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</row>
    <row r="542" spans="1:54" ht="15.7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</row>
    <row r="543" spans="1:54" ht="15.7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</row>
    <row r="544" spans="1:54" ht="15.7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</row>
    <row r="545" spans="1:54" ht="15.7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</row>
    <row r="546" spans="1:54" ht="15.7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</row>
    <row r="547" spans="1:54" ht="15.7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</row>
    <row r="548" spans="1:54" ht="15.7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</row>
    <row r="549" spans="1:54" ht="15.7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</row>
    <row r="550" spans="1:54" ht="15.7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</row>
    <row r="551" spans="1:54" ht="15.7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</row>
    <row r="552" spans="1:54" ht="15.7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</row>
    <row r="553" spans="1:54" ht="15.7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</row>
    <row r="554" spans="1:54" ht="15.7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</row>
    <row r="555" spans="1:54" ht="15.7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</row>
    <row r="556" spans="1:54" ht="15.7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</row>
    <row r="557" spans="1:54" ht="15.7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</row>
    <row r="558" spans="1:54" ht="15.7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</row>
    <row r="559" spans="1:54" ht="15.7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</row>
    <row r="560" spans="1:54" ht="15.7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</row>
    <row r="561" spans="1:54" ht="15.7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</row>
    <row r="562" spans="1:54" ht="15.7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</row>
    <row r="563" spans="1:54" ht="15.7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</row>
    <row r="564" spans="1:54" ht="15.7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</row>
    <row r="565" spans="1:54" ht="15.7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</row>
    <row r="566" spans="1:54" ht="15.7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</row>
    <row r="567" spans="1:54" ht="15.7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</row>
    <row r="568" spans="1:54" ht="15.7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</row>
    <row r="569" spans="1:54" ht="15.7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</row>
    <row r="570" spans="1:54" ht="15.7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</row>
    <row r="571" spans="1:54" ht="15.7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</row>
    <row r="572" spans="1:54" ht="15.7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</row>
    <row r="573" spans="1:54" ht="15.7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</row>
    <row r="574" spans="1:54" ht="15.7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</row>
    <row r="575" spans="1:54" ht="15.7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</row>
    <row r="576" spans="1:54" ht="15.7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</row>
    <row r="577" spans="1:54" ht="15.7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</row>
    <row r="578" spans="1:54" ht="15.7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</row>
    <row r="579" spans="1:54" ht="15.7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</row>
    <row r="580" spans="1:54" ht="15.7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</row>
    <row r="581" spans="1:54" ht="15.7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</row>
    <row r="582" spans="1:54" ht="15.7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</row>
    <row r="583" spans="1:54" ht="15.7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</row>
    <row r="584" spans="1:54" ht="15.7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</row>
    <row r="585" spans="1:54" ht="15.7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</row>
    <row r="586" spans="1:54" ht="15.7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</row>
    <row r="587" spans="1:54" ht="15.7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</row>
    <row r="588" spans="1:54" ht="15.7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</row>
    <row r="589" spans="1:54" ht="15.7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</row>
    <row r="590" spans="1:54" ht="15.7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</row>
    <row r="591" spans="1:54" ht="15.7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</row>
    <row r="592" spans="1:54" ht="15.7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</row>
    <row r="593" spans="1:54" ht="15.7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</row>
    <row r="594" spans="1:54" ht="15.7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</row>
    <row r="595" spans="1:54" ht="15.7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</row>
    <row r="596" spans="1:54" ht="15.7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</row>
    <row r="597" spans="1:54" ht="15.7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</row>
    <row r="598" spans="1:54" ht="15.7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</row>
    <row r="599" spans="1:54" ht="15.7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</row>
    <row r="600" spans="1:54" ht="15.7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</row>
    <row r="601" spans="1:54" ht="15.7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</row>
    <row r="602" spans="1:54" ht="15.7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</row>
    <row r="603" spans="1:54" ht="15.7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</row>
    <row r="604" spans="1:54" ht="15.7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</row>
    <row r="605" spans="1:54" ht="15.7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</row>
    <row r="606" spans="1:54" ht="15.7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</row>
    <row r="607" spans="1:54" ht="15.7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</row>
    <row r="608" spans="1:54" ht="15.7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</row>
    <row r="609" spans="1:54" ht="15.7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</row>
    <row r="610" spans="1:54" ht="15.7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</row>
    <row r="611" spans="1:54" ht="15.7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</row>
    <row r="612" spans="1:54" ht="15.7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</row>
    <row r="613" spans="1:54" ht="15.7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</row>
    <row r="614" spans="1:54" ht="15.7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</row>
    <row r="615" spans="1:54" ht="15.7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</row>
    <row r="616" spans="1:54" ht="15.7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</row>
    <row r="617" spans="1:54" ht="15.7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</row>
    <row r="618" spans="1:54" ht="15.7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</row>
    <row r="619" spans="1:54" ht="15.7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</row>
    <row r="620" spans="1:54" ht="15.7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</row>
    <row r="621" spans="1:54" ht="15.7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</row>
    <row r="622" spans="1:54" ht="15.7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</row>
    <row r="623" spans="1:54" ht="15.7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</row>
    <row r="624" spans="1:54" ht="15.7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</row>
    <row r="625" spans="1:54" ht="15.7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</row>
    <row r="626" spans="1:54" ht="15.7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</row>
    <row r="627" spans="1:54" ht="15.7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</row>
    <row r="628" spans="1:54" ht="15.7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</row>
    <row r="629" spans="1:54" ht="15.7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</row>
    <row r="630" spans="1:54" ht="15.7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</row>
    <row r="631" spans="1:54" ht="15.7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</row>
    <row r="632" spans="1:54" ht="15.7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</row>
    <row r="633" spans="1:54" ht="15.7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</row>
    <row r="634" spans="1:54" ht="15.7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</row>
    <row r="635" spans="1:54" ht="15.7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</row>
    <row r="636" spans="1:54" ht="15.7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</row>
    <row r="637" spans="1:54" ht="15.7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</row>
    <row r="638" spans="1:54" ht="15.7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</row>
    <row r="639" spans="1:54" ht="15.7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</row>
    <row r="640" spans="1:54" ht="15.7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</row>
    <row r="641" spans="1:54" ht="15.7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</row>
    <row r="642" spans="1:54" ht="15.7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</row>
    <row r="643" spans="1:54" ht="15.7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</row>
    <row r="644" spans="1:54" ht="15.7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</row>
    <row r="645" spans="1:54" ht="15.7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</row>
    <row r="646" spans="1:54" ht="15.7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</row>
    <row r="647" spans="1:54" ht="15.7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</row>
    <row r="648" spans="1:54" ht="15.7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</row>
    <row r="649" spans="1:54" ht="15.7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</row>
    <row r="650" spans="1:54" ht="15.7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</row>
    <row r="651" spans="1:54" ht="15.7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</row>
    <row r="652" spans="1:54" ht="15.7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</row>
    <row r="653" spans="1:54" ht="15.7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</row>
    <row r="654" spans="1:54" ht="15.7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</row>
    <row r="655" spans="1:54" ht="15.7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</row>
    <row r="656" spans="1:54" ht="15.7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</row>
    <row r="657" spans="1:54" ht="15.7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</row>
    <row r="658" spans="1:54" ht="15.7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</row>
    <row r="659" spans="1:54" ht="15.7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</row>
    <row r="660" spans="1:54" ht="15.7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</row>
    <row r="661" spans="1:54" ht="15.7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</row>
    <row r="662" spans="1:54" ht="15.7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</row>
    <row r="663" spans="1:54" ht="15.7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</row>
    <row r="664" spans="1:54" ht="15.7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</row>
    <row r="665" spans="1:54" ht="15.7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</row>
    <row r="666" spans="1:54" ht="15.7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</row>
    <row r="667" spans="1:54" ht="15.7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</row>
    <row r="668" spans="1:54" ht="15.7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</row>
    <row r="669" spans="1:54" ht="15.7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</row>
    <row r="670" spans="1:54" ht="15.7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</row>
    <row r="671" spans="1:54" ht="15.7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</row>
    <row r="672" spans="1:54" ht="15.7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</row>
    <row r="673" spans="1:54" ht="15.7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</row>
    <row r="674" spans="1:54" ht="15.7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</row>
    <row r="675" spans="1:54" ht="15.7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</row>
    <row r="676" spans="1:54" ht="15.7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</row>
    <row r="677" spans="1:54" ht="15.7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</row>
    <row r="678" spans="1:54" ht="15.7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</row>
    <row r="679" spans="1:54" ht="15.7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</row>
    <row r="680" spans="1:54" ht="15.7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</row>
    <row r="681" spans="1:54" ht="15.7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</row>
    <row r="682" spans="1:54" ht="15.7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</row>
    <row r="683" spans="1:54" ht="15.7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</row>
    <row r="684" spans="1:54" ht="15.7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</row>
    <row r="685" spans="1:54" ht="15.7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</row>
    <row r="686" spans="1:54" ht="15.7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</row>
    <row r="687" spans="1:54" ht="15.7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</row>
    <row r="688" spans="1:54" ht="15.7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</row>
    <row r="689" spans="1:54" ht="15.7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</row>
    <row r="690" spans="1:54" ht="15.7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</row>
    <row r="691" spans="1:54" ht="15.7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</row>
    <row r="692" spans="1:54" ht="15.7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</row>
    <row r="693" spans="1:54" ht="15.7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</row>
    <row r="694" spans="1:54" ht="15.7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</row>
    <row r="695" spans="1:54" ht="15.7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</row>
    <row r="696" spans="1:54" ht="15.7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</row>
    <row r="697" spans="1:54" ht="15.7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</row>
    <row r="698" spans="1:54" ht="15.7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</row>
    <row r="699" spans="1:54" ht="15.7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</row>
    <row r="700" spans="1:54" ht="15.7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</row>
    <row r="701" spans="1:54" ht="15.7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</row>
    <row r="702" spans="1:54" ht="15.7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</row>
    <row r="703" spans="1:54" ht="15.7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</row>
    <row r="704" spans="1:54" ht="15.7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</row>
    <row r="705" spans="1:54" ht="15.7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</row>
    <row r="706" spans="1:54" ht="15.7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</row>
    <row r="707" spans="1:54" ht="15.7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</row>
    <row r="708" spans="1:54" ht="15.7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</row>
    <row r="709" spans="1:54" ht="15.7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</row>
    <row r="710" spans="1:54" ht="15.7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</row>
    <row r="711" spans="1:54" ht="15.7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</row>
    <row r="712" spans="1:54" ht="15.7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</row>
    <row r="713" spans="1:54" ht="15.7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</row>
    <row r="714" spans="1:54" ht="15.7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</row>
    <row r="715" spans="1:54" ht="15.7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</row>
    <row r="716" spans="1:54" ht="15.7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</row>
    <row r="717" spans="1:54" ht="15.7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</row>
    <row r="718" spans="1:54" ht="15.7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</row>
    <row r="719" spans="1:54" ht="15.7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</row>
    <row r="720" spans="1:54" ht="15.7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</row>
    <row r="721" spans="1:54" ht="15.7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</row>
    <row r="722" spans="1:54" ht="15.7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</row>
    <row r="723" spans="1:54" ht="15.7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</row>
    <row r="724" spans="1:54" ht="15.7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</row>
    <row r="725" spans="1:54" ht="15.7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</row>
    <row r="726" spans="1:54" ht="15.7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</row>
    <row r="727" spans="1:54" ht="15.7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</row>
    <row r="728" spans="1:54" ht="15.7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</row>
    <row r="729" spans="1:54" ht="15.7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</row>
    <row r="730" spans="1:54" ht="15.7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</row>
    <row r="731" spans="1:54" ht="15.7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</row>
    <row r="732" spans="1:54" ht="15.7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</row>
    <row r="733" spans="1:54" ht="15.7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</row>
    <row r="734" spans="1:54" ht="15.7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</row>
    <row r="735" spans="1:54" ht="15.7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</row>
    <row r="736" spans="1:54" ht="15.7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</row>
    <row r="737" spans="1:54" ht="15.7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</row>
    <row r="738" spans="1:54" ht="15.7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</row>
    <row r="739" spans="1:54" ht="15.7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</row>
    <row r="740" spans="1:54" ht="15.7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</row>
    <row r="741" spans="1:54" ht="15.7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</row>
    <row r="742" spans="1:54" ht="15.7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</row>
    <row r="743" spans="1:54" ht="15.7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</row>
    <row r="744" spans="1:54" ht="15.7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</row>
    <row r="745" spans="1:54" ht="15.7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</row>
    <row r="746" spans="1:54" ht="15.7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</row>
    <row r="747" spans="1:54" ht="15.7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</row>
    <row r="748" spans="1:54" ht="15.7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</row>
    <row r="749" spans="1:54" ht="15.7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</row>
    <row r="750" spans="1:54" ht="15.7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</row>
    <row r="751" spans="1:54" ht="15.7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</row>
    <row r="752" spans="1:54" ht="15.7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</row>
    <row r="753" spans="1:54" ht="15.7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</row>
    <row r="754" spans="1:54" ht="15.7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</row>
    <row r="755" spans="1:54" ht="15.7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</row>
    <row r="756" spans="1:54" ht="15.7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</row>
    <row r="757" spans="1:54" ht="15.7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</row>
    <row r="758" spans="1:54" ht="15.7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</row>
    <row r="759" spans="1:54" ht="15.7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</row>
    <row r="760" spans="1:54" ht="15.7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</row>
    <row r="761" spans="1:54" ht="15.7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</row>
    <row r="762" spans="1:54" ht="15.7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</row>
    <row r="763" spans="1:54" ht="15.7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</row>
    <row r="764" spans="1:54" ht="15.7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</row>
    <row r="765" spans="1:54" ht="15.7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</row>
    <row r="766" spans="1:54" ht="15.7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</row>
    <row r="767" spans="1:54" ht="15.7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</row>
    <row r="768" spans="1:54" ht="15.7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</row>
    <row r="769" spans="1:54" ht="15.7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</row>
    <row r="770" spans="1:54" ht="15.7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</row>
    <row r="771" spans="1:54" ht="15.7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</row>
    <row r="772" spans="1:54" ht="15.7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</row>
    <row r="773" spans="1:54" ht="15.7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</row>
    <row r="774" spans="1:54" ht="15.7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</row>
    <row r="775" spans="1:54" ht="15.7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</row>
    <row r="776" spans="1:54" ht="15.7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</row>
    <row r="777" spans="1:54" ht="15.7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</row>
    <row r="778" spans="1:54" ht="15.7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</row>
    <row r="779" spans="1:54" ht="15.7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</row>
    <row r="780" spans="1:54" ht="15.7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</row>
    <row r="781" spans="1:54" ht="15.7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</row>
    <row r="782" spans="1:54" ht="15.7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</row>
    <row r="783" spans="1:54" ht="15.7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</row>
    <row r="784" spans="1:54" ht="15.7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</row>
    <row r="785" spans="1:54" ht="15.7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</row>
    <row r="786" spans="1:54" ht="15.7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</row>
    <row r="787" spans="1:54" ht="15.7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</row>
    <row r="788" spans="1:54" ht="15.7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</row>
    <row r="789" spans="1:54" ht="15.7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</row>
    <row r="790" spans="1:54" ht="15.7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</row>
    <row r="791" spans="1:54" ht="15.7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</row>
    <row r="792" spans="1:54" ht="15.7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</row>
    <row r="793" spans="1:54" ht="15.7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</row>
    <row r="794" spans="1:54" ht="15.7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</row>
    <row r="795" spans="1:54" ht="15.7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</row>
    <row r="796" spans="1:54" ht="15.7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</row>
    <row r="797" spans="1:54" ht="15.7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</row>
    <row r="798" spans="1:54" ht="15.7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</row>
    <row r="799" spans="1:54" ht="15.7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</row>
    <row r="800" spans="1:54" ht="15.7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</row>
    <row r="801" spans="1:54" ht="15.7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</row>
    <row r="802" spans="1:54" ht="15.7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</row>
    <row r="803" spans="1:54" ht="15.7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</row>
    <row r="804" spans="1:54" ht="15.7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</row>
    <row r="805" spans="1:54" ht="15.7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</row>
    <row r="806" spans="1:54" ht="15.7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</row>
    <row r="807" spans="1:54" ht="15.7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</row>
    <row r="808" spans="1:54" ht="15.7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</row>
    <row r="809" spans="1:54" ht="15.7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</row>
    <row r="810" spans="1:54" ht="15.7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</row>
    <row r="811" spans="1:54" ht="15.7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</row>
    <row r="812" spans="1:54" ht="15.7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</row>
    <row r="813" spans="1:54" ht="15.7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</row>
    <row r="814" spans="1:54" ht="15.7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</row>
    <row r="815" spans="1:54" ht="15.7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</row>
    <row r="816" spans="1:54" ht="15.7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</row>
    <row r="817" spans="1:54" ht="15.7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</row>
    <row r="818" spans="1:54" ht="15.7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</row>
    <row r="819" spans="1:54" ht="15.7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</row>
    <row r="820" spans="1:54" ht="15.7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</row>
    <row r="821" spans="1:54" ht="15.7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</row>
    <row r="822" spans="1:54" ht="15.7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</row>
    <row r="823" spans="1:54" ht="15.7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</row>
    <row r="824" spans="1:54" ht="15.7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</row>
    <row r="825" spans="1:54" ht="15.7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</row>
    <row r="826" spans="1:54" ht="15.7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</row>
    <row r="827" spans="1:54" ht="15.7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</row>
    <row r="828" spans="1:54" ht="15.7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</row>
    <row r="829" spans="1:54" ht="15.7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</row>
    <row r="830" spans="1:54" ht="15.7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</row>
    <row r="831" spans="1:54" ht="15.7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</row>
    <row r="832" spans="1:54" ht="15.7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</row>
    <row r="833" spans="1:54" ht="15.7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</row>
    <row r="834" spans="1:54" ht="15.7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</row>
    <row r="835" spans="1:54" ht="15.7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</row>
    <row r="836" spans="1:54" ht="15.7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</row>
    <row r="837" spans="1:54" ht="15.7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</row>
    <row r="838" spans="1:54" ht="15.7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</row>
    <row r="839" spans="1:54" ht="15.7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</row>
    <row r="840" spans="1:54" ht="15.7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</row>
    <row r="841" spans="1:54" ht="15.7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</row>
    <row r="842" spans="1:54" ht="15.7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</row>
    <row r="843" spans="1:54" ht="15.7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</row>
    <row r="844" spans="1:54" ht="15.7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</row>
    <row r="845" spans="1:54" ht="15.7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</row>
    <row r="846" spans="1:54" ht="15.7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</row>
    <row r="847" spans="1:54" ht="15.7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</row>
    <row r="848" spans="1:54" ht="15.7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</row>
    <row r="849" spans="1:54" ht="15.7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</row>
    <row r="850" spans="1:54" ht="15.7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</row>
    <row r="851" spans="1:54" ht="15.7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</row>
    <row r="852" spans="1:54" ht="15.7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</row>
    <row r="853" spans="1:54" ht="15.7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</row>
    <row r="854" spans="1:54" ht="15.7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</row>
    <row r="855" spans="1:54" ht="15.7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</row>
    <row r="856" spans="1:54" ht="15.7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</row>
    <row r="857" spans="1:54" ht="15.7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</row>
    <row r="858" spans="1:54" ht="15.7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</row>
    <row r="859" spans="1:54" ht="15.7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</row>
    <row r="860" spans="1:54" ht="15.7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</row>
    <row r="861" spans="1:54" ht="15.7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</row>
    <row r="862" spans="1:54" ht="15.7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</row>
    <row r="863" spans="1:54" ht="15.7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</row>
    <row r="864" spans="1:54" ht="15.7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</row>
    <row r="865" spans="1:54" ht="15.7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</row>
    <row r="866" spans="1:54" ht="15.7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</row>
    <row r="867" spans="1:54" ht="15.7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</row>
    <row r="868" spans="1:54" ht="15.7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</row>
    <row r="869" spans="1:54" ht="15.7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</row>
    <row r="870" spans="1:54" ht="15.7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</row>
    <row r="871" spans="1:54" ht="15.7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</row>
    <row r="872" spans="1:54" ht="15.7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</row>
    <row r="873" spans="1:54" ht="15.7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</row>
    <row r="874" spans="1:54" ht="15.7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</row>
    <row r="875" spans="1:54" ht="15.7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</row>
    <row r="876" spans="1:54" ht="15.7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</row>
    <row r="877" spans="1:54" ht="15.7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</row>
    <row r="878" spans="1:54" ht="15.7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</row>
    <row r="879" spans="1:54" ht="15.7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</row>
    <row r="880" spans="1:54" ht="15.7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</row>
    <row r="881" spans="1:54" ht="15.7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</row>
    <row r="882" spans="1:54" ht="15.7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</row>
    <row r="883" spans="1:54" ht="15.7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</row>
    <row r="884" spans="1:54" ht="15.7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</row>
    <row r="885" spans="1:54" ht="15.7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</row>
    <row r="886" spans="1:54" ht="15.7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</row>
    <row r="887" spans="1:54" ht="15.7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</row>
    <row r="888" spans="1:54" ht="15.7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</row>
    <row r="889" spans="1:54" ht="15.7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</row>
    <row r="890" spans="1:54" ht="15.7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</row>
    <row r="891" spans="1:54" ht="15.7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</row>
    <row r="892" spans="1:54" ht="15.7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</row>
    <row r="893" spans="1:54" ht="15.7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</row>
    <row r="894" spans="1:54" ht="15.7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</row>
    <row r="895" spans="1:54" ht="15.7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</row>
    <row r="896" spans="1:54" ht="15.7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</row>
    <row r="897" spans="1:54" ht="15.7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</row>
    <row r="898" spans="1:54" ht="15.7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</row>
    <row r="899" spans="1:54" ht="15.7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</row>
    <row r="900" spans="1:54" ht="15.7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</row>
    <row r="901" spans="1:54" ht="15.7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</row>
    <row r="902" spans="1:54" ht="15.7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</row>
    <row r="903" spans="1:54" ht="15.7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</row>
    <row r="904" spans="1:54" ht="15.7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</row>
    <row r="905" spans="1:54" ht="15.7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</row>
    <row r="906" spans="1:54" ht="15.7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</row>
    <row r="907" spans="1:54" ht="15.7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</row>
    <row r="908" spans="1:54" ht="15.7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</row>
    <row r="909" spans="1:54" ht="15.7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</row>
    <row r="910" spans="1:54" ht="15.7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</row>
    <row r="911" spans="1:54" ht="15.7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</row>
    <row r="912" spans="1:54" ht="15.7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</row>
    <row r="913" spans="1:54" ht="15.7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</row>
    <row r="914" spans="1:54" ht="15.7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</row>
    <row r="915" spans="1:54" ht="15.7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</row>
    <row r="916" spans="1:54" ht="15.7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</row>
    <row r="917" spans="1:54" ht="15.7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</row>
    <row r="918" spans="1:54" ht="15.7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</row>
    <row r="919" spans="1:54" ht="15.7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</row>
    <row r="920" spans="1:54" ht="15.7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</row>
    <row r="921" spans="1:54" ht="15.7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</row>
    <row r="922" spans="1:54" ht="15.7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</row>
    <row r="923" spans="1:54" ht="15.7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</row>
    <row r="924" spans="1:54" ht="15.7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</row>
    <row r="925" spans="1:54" ht="15.7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</row>
    <row r="926" spans="1:54" ht="15.7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</row>
    <row r="927" spans="1:54" ht="15.7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</row>
    <row r="928" spans="1:54" ht="15.7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</row>
    <row r="929" spans="1:54" ht="15.7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</row>
    <row r="930" spans="1:54" ht="15.7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</row>
    <row r="931" spans="1:54" ht="15.7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</row>
    <row r="932" spans="1:54" ht="15.7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</row>
    <row r="933" spans="1:54" ht="15.7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</row>
    <row r="934" spans="1:54" ht="15.7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</row>
    <row r="935" spans="1:54" ht="15.7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</row>
    <row r="936" spans="1:54" ht="15.7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</row>
    <row r="937" spans="1:54" ht="15.7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</row>
    <row r="938" spans="1:54" ht="15.7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</row>
    <row r="939" spans="1:54" ht="15.7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</row>
    <row r="940" spans="1:54" ht="15.7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</row>
    <row r="941" spans="1:54" ht="15.7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</row>
    <row r="942" spans="1:54" ht="15.7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</row>
    <row r="943" spans="1:54" ht="15.7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</row>
    <row r="944" spans="1:54" ht="15.7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</row>
    <row r="945" spans="1:54" ht="15.7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</row>
    <row r="946" spans="1:54" ht="15.7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</row>
    <row r="947" spans="1:54" ht="15.7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</row>
    <row r="948" spans="1:54" ht="15.7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</row>
    <row r="949" spans="1:54" ht="15.7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</row>
    <row r="950" spans="1:54" ht="15.7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</row>
    <row r="951" spans="1:54" ht="15.7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</row>
    <row r="952" spans="1:54" ht="15.7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</row>
    <row r="953" spans="1:54" ht="15.7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</row>
    <row r="954" spans="1:54" ht="15.7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</row>
    <row r="955" spans="1:54" ht="15.7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</row>
    <row r="956" spans="1:54" ht="15.7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</row>
    <row r="957" spans="1:54" ht="15.7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</row>
    <row r="958" spans="1:54" ht="15.7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</row>
    <row r="959" spans="1:54" ht="15.7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</row>
    <row r="960" spans="1:54" ht="15.7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</row>
    <row r="961" spans="1:54" ht="15.7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</row>
    <row r="962" spans="1:54" ht="15.7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</row>
    <row r="963" spans="1:54" ht="15.7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</row>
    <row r="964" spans="1:54" ht="15.7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</row>
    <row r="965" spans="1:54" ht="15.7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</row>
    <row r="966" spans="1:54" ht="15.7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</row>
    <row r="967" spans="1:54" ht="15.7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</row>
    <row r="968" spans="1:54" ht="15.7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</row>
    <row r="969" spans="1:54" ht="15.7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</row>
    <row r="970" spans="1:54" ht="15.7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</row>
    <row r="971" spans="1:54" ht="15.7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</row>
    <row r="972" spans="1:54" ht="15.7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</row>
    <row r="973" spans="1:54" ht="15.7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</row>
    <row r="974" spans="1:54" ht="15.7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</row>
    <row r="975" spans="1:54" ht="15.7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</row>
    <row r="976" spans="1:54" ht="15.7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</row>
    <row r="977" spans="1:54" ht="15.7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</row>
    <row r="978" spans="1:54" ht="15.7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</row>
    <row r="979" spans="1:54" ht="15.7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</row>
    <row r="980" spans="1:54" ht="15.7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</row>
    <row r="981" spans="1:54" ht="15.7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</row>
    <row r="982" spans="1:54" ht="15.7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</row>
    <row r="983" spans="1:54" ht="15.7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</row>
    <row r="984" spans="1:54" ht="15.7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</row>
    <row r="985" spans="1:54" ht="15.7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</row>
    <row r="986" spans="1:54" ht="15.7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</row>
    <row r="987" spans="1:54" ht="15.7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</row>
    <row r="988" spans="1:54" ht="15.7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</row>
    <row r="989" spans="1:54" ht="15.7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</row>
    <row r="990" spans="1:54" ht="15.7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</row>
    <row r="991" spans="1:54" ht="15.7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</row>
    <row r="992" spans="1:54" ht="15.7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</row>
    <row r="993" spans="1:54" ht="15.7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</row>
    <row r="994" spans="1:54" ht="15.7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</row>
    <row r="995" spans="1:54" ht="15.7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</row>
    <row r="996" spans="1:54" ht="15.7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</row>
    <row r="997" spans="1:54" ht="15.7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</row>
    <row r="998" spans="1:54" ht="15.7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</row>
    <row r="999" spans="1:54" ht="15.7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</row>
    <row r="1000" spans="1:54" ht="15.7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</row>
  </sheetData>
  <mergeCells count="1410">
    <mergeCell ref="D9:N9"/>
    <mergeCell ref="L11:M11"/>
    <mergeCell ref="K12:N12"/>
    <mergeCell ref="L13:M13"/>
    <mergeCell ref="L14:M14"/>
    <mergeCell ref="L15:M15"/>
    <mergeCell ref="C10:C11"/>
    <mergeCell ref="D10:G10"/>
    <mergeCell ref="D11:E11"/>
    <mergeCell ref="D12:G12"/>
    <mergeCell ref="H12:J12"/>
    <mergeCell ref="D13:E13"/>
    <mergeCell ref="D14:E14"/>
    <mergeCell ref="O10:R10"/>
    <mergeCell ref="S10:U10"/>
    <mergeCell ref="O12:R12"/>
    <mergeCell ref="S12:U12"/>
    <mergeCell ref="O13:P13"/>
    <mergeCell ref="O14:P14"/>
    <mergeCell ref="O15:P15"/>
    <mergeCell ref="V10:Y10"/>
    <mergeCell ref="W11:X11"/>
    <mergeCell ref="V12:Y12"/>
    <mergeCell ref="AB12:AC12"/>
    <mergeCell ref="W13:X13"/>
    <mergeCell ref="AB13:AC13"/>
    <mergeCell ref="AB14:AC14"/>
    <mergeCell ref="AD18:AK18"/>
    <mergeCell ref="AL18:AN18"/>
    <mergeCell ref="AD13:AK13"/>
    <mergeCell ref="AD14:AK14"/>
    <mergeCell ref="AL14:AN14"/>
    <mergeCell ref="AD15:AK15"/>
    <mergeCell ref="AL15:AN15"/>
    <mergeCell ref="AD17:AK17"/>
    <mergeCell ref="AL17:AN17"/>
    <mergeCell ref="AD20:AK20"/>
    <mergeCell ref="AL20:AN20"/>
    <mergeCell ref="AB15:AC15"/>
    <mergeCell ref="AB17:AC17"/>
    <mergeCell ref="AB18:AC18"/>
    <mergeCell ref="AB19:AC19"/>
    <mergeCell ref="AD19:AK19"/>
    <mergeCell ref="AL19:AN19"/>
    <mergeCell ref="AB20:AC20"/>
    <mergeCell ref="W14:X14"/>
    <mergeCell ref="W15:X15"/>
    <mergeCell ref="W17:X17"/>
    <mergeCell ref="W18:X18"/>
    <mergeCell ref="W19:X19"/>
    <mergeCell ref="AB23:AC23"/>
    <mergeCell ref="AD23:AK23"/>
    <mergeCell ref="AL23:AN23"/>
    <mergeCell ref="AB24:AC24"/>
    <mergeCell ref="AL24:AN24"/>
    <mergeCell ref="AB25:AC25"/>
    <mergeCell ref="AB26:AC26"/>
    <mergeCell ref="AR46:AR47"/>
    <mergeCell ref="AD36:AD43"/>
    <mergeCell ref="AE36:AE43"/>
    <mergeCell ref="AF36:AF43"/>
    <mergeCell ref="AG36:AG43"/>
    <mergeCell ref="AH36:AH43"/>
    <mergeCell ref="AI36:AI43"/>
    <mergeCell ref="AJ36:AJ43"/>
    <mergeCell ref="AA43:AC43"/>
    <mergeCell ref="AR36:AR43"/>
    <mergeCell ref="AI46:AI47"/>
    <mergeCell ref="AI44:AI45"/>
    <mergeCell ref="AJ46:AJ47"/>
    <mergeCell ref="AK46:AK47"/>
    <mergeCell ref="AN44:AN45"/>
    <mergeCell ref="AN46:AN47"/>
    <mergeCell ref="AK44:AK45"/>
    <mergeCell ref="AL44:AL45"/>
    <mergeCell ref="AM44:AM49"/>
    <mergeCell ref="AL46:AL47"/>
    <mergeCell ref="AA48:AC49"/>
    <mergeCell ref="AD48:AD49"/>
    <mergeCell ref="AE48:AE49"/>
    <mergeCell ref="AJ44:AJ45"/>
    <mergeCell ref="AF48:AF49"/>
    <mergeCell ref="AS46:AS47"/>
    <mergeCell ref="AQ48:AQ49"/>
    <mergeCell ref="AR48:AR49"/>
    <mergeCell ref="AS48:AS49"/>
    <mergeCell ref="AT48:AT49"/>
    <mergeCell ref="AR44:AR45"/>
    <mergeCell ref="AS44:AS45"/>
    <mergeCell ref="AT44:AT45"/>
    <mergeCell ref="AU44:AU45"/>
    <mergeCell ref="AV44:AV45"/>
    <mergeCell ref="AW44:AW45"/>
    <mergeCell ref="AX44:AX49"/>
    <mergeCell ref="AW48:AW49"/>
    <mergeCell ref="AU48:AU49"/>
    <mergeCell ref="AV48:AV49"/>
    <mergeCell ref="AO82:AX82"/>
    <mergeCell ref="AO83:AX83"/>
    <mergeCell ref="AQ44:AQ45"/>
    <mergeCell ref="AQ46:AQ47"/>
    <mergeCell ref="AT46:AT47"/>
    <mergeCell ref="AU46:AU47"/>
    <mergeCell ref="AV46:AV47"/>
    <mergeCell ref="AW46:AW47"/>
    <mergeCell ref="AO44:AO45"/>
    <mergeCell ref="AP44:AP45"/>
    <mergeCell ref="AO46:AO47"/>
    <mergeCell ref="AP46:AP47"/>
    <mergeCell ref="AP48:AP49"/>
    <mergeCell ref="AB54:AW55"/>
    <mergeCell ref="AG48:AG49"/>
    <mergeCell ref="AH48:AH49"/>
    <mergeCell ref="AJ48:AJ49"/>
    <mergeCell ref="AO84:AX84"/>
    <mergeCell ref="AO85:AX85"/>
    <mergeCell ref="AO86:AX86"/>
    <mergeCell ref="AO94:AX94"/>
    <mergeCell ref="AO95:AX95"/>
    <mergeCell ref="AO87:AX87"/>
    <mergeCell ref="AO88:AX88"/>
    <mergeCell ref="AO89:AX89"/>
    <mergeCell ref="AO90:AX90"/>
    <mergeCell ref="AO91:AX91"/>
    <mergeCell ref="AO92:AX92"/>
    <mergeCell ref="AO93:AX93"/>
    <mergeCell ref="AD93:AK93"/>
    <mergeCell ref="AD94:AK94"/>
    <mergeCell ref="AD90:AK90"/>
    <mergeCell ref="AL90:AN90"/>
    <mergeCell ref="AD91:AK91"/>
    <mergeCell ref="AL91:AN91"/>
    <mergeCell ref="AD92:AK92"/>
    <mergeCell ref="AL92:AN92"/>
    <mergeCell ref="AL93:AN93"/>
    <mergeCell ref="AD89:AK89"/>
    <mergeCell ref="AL89:AN89"/>
    <mergeCell ref="AD85:AK85"/>
    <mergeCell ref="AL85:AN85"/>
    <mergeCell ref="AL86:AN86"/>
    <mergeCell ref="K38:N38"/>
    <mergeCell ref="O38:R38"/>
    <mergeCell ref="S38:U38"/>
    <mergeCell ref="D38:G38"/>
    <mergeCell ref="D39:E39"/>
    <mergeCell ref="L35:M35"/>
    <mergeCell ref="O35:P35"/>
    <mergeCell ref="L36:M36"/>
    <mergeCell ref="O36:P36"/>
    <mergeCell ref="L37:M37"/>
    <mergeCell ref="O37:P37"/>
    <mergeCell ref="H38:J38"/>
    <mergeCell ref="O27:R27"/>
    <mergeCell ref="O22:P22"/>
    <mergeCell ref="O23:P23"/>
    <mergeCell ref="L24:M24"/>
    <mergeCell ref="O24:P24"/>
    <mergeCell ref="L25:M25"/>
    <mergeCell ref="O25:P25"/>
    <mergeCell ref="O26:P26"/>
    <mergeCell ref="D28:E28"/>
    <mergeCell ref="D29:E29"/>
    <mergeCell ref="D30:E30"/>
    <mergeCell ref="D31:G31"/>
    <mergeCell ref="H31:J31"/>
    <mergeCell ref="K31:N31"/>
    <mergeCell ref="O31:R31"/>
    <mergeCell ref="S31:U31"/>
    <mergeCell ref="O33:P33"/>
    <mergeCell ref="O34:P34"/>
    <mergeCell ref="D32:E32"/>
    <mergeCell ref="D41:E41"/>
    <mergeCell ref="D42:G42"/>
    <mergeCell ref="H42:J42"/>
    <mergeCell ref="O42:R42"/>
    <mergeCell ref="S42:U42"/>
    <mergeCell ref="D43:E43"/>
    <mergeCell ref="D44:E44"/>
    <mergeCell ref="L44:M44"/>
    <mergeCell ref="O44:P44"/>
    <mergeCell ref="O62:P62"/>
    <mergeCell ref="O63:P63"/>
    <mergeCell ref="O54:P54"/>
    <mergeCell ref="O55:P55"/>
    <mergeCell ref="O56:P56"/>
    <mergeCell ref="O57:P57"/>
    <mergeCell ref="O58:P58"/>
    <mergeCell ref="O59:P59"/>
    <mergeCell ref="O61:P61"/>
    <mergeCell ref="D63:E63"/>
    <mergeCell ref="S49:U49"/>
    <mergeCell ref="O53:R53"/>
    <mergeCell ref="S53:U53"/>
    <mergeCell ref="L57:M57"/>
    <mergeCell ref="L58:M58"/>
    <mergeCell ref="L59:M59"/>
    <mergeCell ref="H60:J60"/>
    <mergeCell ref="K60:N60"/>
    <mergeCell ref="O60:R60"/>
    <mergeCell ref="S60:U60"/>
    <mergeCell ref="L46:M46"/>
    <mergeCell ref="L50:M50"/>
    <mergeCell ref="D56:E56"/>
    <mergeCell ref="D57:E57"/>
    <mergeCell ref="D58:E58"/>
    <mergeCell ref="D59:E59"/>
    <mergeCell ref="D60:G60"/>
    <mergeCell ref="D61:E61"/>
    <mergeCell ref="D62:E62"/>
    <mergeCell ref="L39:M39"/>
    <mergeCell ref="O39:P39"/>
    <mergeCell ref="L40:M40"/>
    <mergeCell ref="O40:P40"/>
    <mergeCell ref="L41:M41"/>
    <mergeCell ref="O41:P41"/>
    <mergeCell ref="K42:N42"/>
    <mergeCell ref="L47:M47"/>
    <mergeCell ref="L48:M48"/>
    <mergeCell ref="H49:J49"/>
    <mergeCell ref="K49:N49"/>
    <mergeCell ref="O49:R49"/>
    <mergeCell ref="L43:M43"/>
    <mergeCell ref="O43:P43"/>
    <mergeCell ref="L45:M45"/>
    <mergeCell ref="O45:P45"/>
    <mergeCell ref="O46:P46"/>
    <mergeCell ref="O47:P47"/>
    <mergeCell ref="O48:P48"/>
    <mergeCell ref="O50:P50"/>
    <mergeCell ref="O51:P51"/>
    <mergeCell ref="O52:P52"/>
    <mergeCell ref="H53:J53"/>
    <mergeCell ref="K53:N53"/>
    <mergeCell ref="D40:E40"/>
    <mergeCell ref="H82:J82"/>
    <mergeCell ref="K82:N82"/>
    <mergeCell ref="O82:R82"/>
    <mergeCell ref="S82:U82"/>
    <mergeCell ref="L83:M83"/>
    <mergeCell ref="L84:M84"/>
    <mergeCell ref="O83:P83"/>
    <mergeCell ref="O84:P84"/>
    <mergeCell ref="L85:M85"/>
    <mergeCell ref="O85:P85"/>
    <mergeCell ref="S80:U80"/>
    <mergeCell ref="L51:M51"/>
    <mergeCell ref="L52:M52"/>
    <mergeCell ref="L54:M54"/>
    <mergeCell ref="L55:M55"/>
    <mergeCell ref="L56:M56"/>
    <mergeCell ref="O65:P65"/>
    <mergeCell ref="O66:P66"/>
    <mergeCell ref="H67:J67"/>
    <mergeCell ref="K67:N67"/>
    <mergeCell ref="O67:R67"/>
    <mergeCell ref="S67:U67"/>
    <mergeCell ref="L61:M61"/>
    <mergeCell ref="L62:M62"/>
    <mergeCell ref="L63:M63"/>
    <mergeCell ref="L64:M64"/>
    <mergeCell ref="O64:P64"/>
    <mergeCell ref="L65:M65"/>
    <mergeCell ref="L66:M66"/>
    <mergeCell ref="H86:J86"/>
    <mergeCell ref="O86:R86"/>
    <mergeCell ref="S86:U86"/>
    <mergeCell ref="H90:J90"/>
    <mergeCell ref="K90:N90"/>
    <mergeCell ref="O90:R90"/>
    <mergeCell ref="S90:U90"/>
    <mergeCell ref="K86:N86"/>
    <mergeCell ref="L87:M87"/>
    <mergeCell ref="O87:P87"/>
    <mergeCell ref="L88:M88"/>
    <mergeCell ref="O88:P88"/>
    <mergeCell ref="L89:M89"/>
    <mergeCell ref="O89:P89"/>
    <mergeCell ref="O95:P95"/>
    <mergeCell ref="O96:P96"/>
    <mergeCell ref="H97:J97"/>
    <mergeCell ref="K97:N97"/>
    <mergeCell ref="O97:R97"/>
    <mergeCell ref="S97:U97"/>
    <mergeCell ref="D88:E88"/>
    <mergeCell ref="D89:E89"/>
    <mergeCell ref="D90:G90"/>
    <mergeCell ref="D91:E91"/>
    <mergeCell ref="D92:E92"/>
    <mergeCell ref="D93:E93"/>
    <mergeCell ref="D94:E94"/>
    <mergeCell ref="D95:E95"/>
    <mergeCell ref="D96:E96"/>
    <mergeCell ref="D97:G97"/>
    <mergeCell ref="D98:E98"/>
    <mergeCell ref="D99:E99"/>
    <mergeCell ref="D100:E100"/>
    <mergeCell ref="D101:G101"/>
    <mergeCell ref="L91:M91"/>
    <mergeCell ref="O91:P91"/>
    <mergeCell ref="L92:M92"/>
    <mergeCell ref="O92:P92"/>
    <mergeCell ref="L93:M93"/>
    <mergeCell ref="O93:P93"/>
    <mergeCell ref="O94:P94"/>
    <mergeCell ref="O99:P99"/>
    <mergeCell ref="O100:P100"/>
    <mergeCell ref="H101:J101"/>
    <mergeCell ref="K101:N101"/>
    <mergeCell ref="O101:R101"/>
    <mergeCell ref="L172:M172"/>
    <mergeCell ref="O172:P172"/>
    <mergeCell ref="L173:M173"/>
    <mergeCell ref="L174:M174"/>
    <mergeCell ref="L111:M111"/>
    <mergeCell ref="H112:J112"/>
    <mergeCell ref="K112:N112"/>
    <mergeCell ref="L113:M113"/>
    <mergeCell ref="O113:P113"/>
    <mergeCell ref="S101:U101"/>
    <mergeCell ref="L94:M94"/>
    <mergeCell ref="L95:M95"/>
    <mergeCell ref="L96:M96"/>
    <mergeCell ref="L98:M98"/>
    <mergeCell ref="O98:P98"/>
    <mergeCell ref="L99:M99"/>
    <mergeCell ref="L100:M100"/>
    <mergeCell ref="L102:M102"/>
    <mergeCell ref="O102:P102"/>
    <mergeCell ref="L103:M103"/>
    <mergeCell ref="O103:P103"/>
    <mergeCell ref="L104:M104"/>
    <mergeCell ref="O104:P104"/>
    <mergeCell ref="O105:P105"/>
    <mergeCell ref="L105:M105"/>
    <mergeCell ref="L106:M106"/>
    <mergeCell ref="W173:X173"/>
    <mergeCell ref="AH175:AH182"/>
    <mergeCell ref="AA182:AC182"/>
    <mergeCell ref="AI175:AI182"/>
    <mergeCell ref="AJ175:AJ182"/>
    <mergeCell ref="AK175:AK182"/>
    <mergeCell ref="V167:Y167"/>
    <mergeCell ref="W168:X168"/>
    <mergeCell ref="AB168:AC168"/>
    <mergeCell ref="L107:M107"/>
    <mergeCell ref="H108:J108"/>
    <mergeCell ref="K108:N108"/>
    <mergeCell ref="L109:M109"/>
    <mergeCell ref="L110:M110"/>
    <mergeCell ref="O112:R112"/>
    <mergeCell ref="S112:U112"/>
    <mergeCell ref="O106:P106"/>
    <mergeCell ref="O107:P107"/>
    <mergeCell ref="O108:R108"/>
    <mergeCell ref="S108:U108"/>
    <mergeCell ref="O109:P109"/>
    <mergeCell ref="O110:P110"/>
    <mergeCell ref="O111:P111"/>
    <mergeCell ref="W165:X165"/>
    <mergeCell ref="W166:X166"/>
    <mergeCell ref="W176:X176"/>
    <mergeCell ref="L165:M165"/>
    <mergeCell ref="L166:M166"/>
    <mergeCell ref="H167:J167"/>
    <mergeCell ref="K167:N167"/>
    <mergeCell ref="O167:R167"/>
    <mergeCell ref="S167:U167"/>
    <mergeCell ref="AL175:AL182"/>
    <mergeCell ref="AM175:AM182"/>
    <mergeCell ref="AN175:AN182"/>
    <mergeCell ref="AO175:AO182"/>
    <mergeCell ref="AW175:AW182"/>
    <mergeCell ref="AX175:AX182"/>
    <mergeCell ref="AP175:AP182"/>
    <mergeCell ref="AQ175:AQ182"/>
    <mergeCell ref="AR175:AR182"/>
    <mergeCell ref="AS175:AS182"/>
    <mergeCell ref="AT175:AT182"/>
    <mergeCell ref="AU175:AU182"/>
    <mergeCell ref="AV175:AV182"/>
    <mergeCell ref="AL169:AN169"/>
    <mergeCell ref="AL170:AN170"/>
    <mergeCell ref="AD171:AK171"/>
    <mergeCell ref="AL171:AN171"/>
    <mergeCell ref="AO171:AX171"/>
    <mergeCell ref="AD175:AD182"/>
    <mergeCell ref="AE175:AE182"/>
    <mergeCell ref="AF175:AF182"/>
    <mergeCell ref="AG175:AG182"/>
    <mergeCell ref="AD169:AK170"/>
    <mergeCell ref="L169:M169"/>
    <mergeCell ref="W169:X169"/>
    <mergeCell ref="AA169:AA170"/>
    <mergeCell ref="L170:M170"/>
    <mergeCell ref="W170:X170"/>
    <mergeCell ref="O169:P169"/>
    <mergeCell ref="O170:P170"/>
    <mergeCell ref="H171:J171"/>
    <mergeCell ref="O171:R171"/>
    <mergeCell ref="S171:U171"/>
    <mergeCell ref="V171:Y171"/>
    <mergeCell ref="AB171:AC171"/>
    <mergeCell ref="K171:N171"/>
    <mergeCell ref="L180:M180"/>
    <mergeCell ref="L181:M181"/>
    <mergeCell ref="O181:P181"/>
    <mergeCell ref="H182:J182"/>
    <mergeCell ref="K182:N182"/>
    <mergeCell ref="O182:R182"/>
    <mergeCell ref="S182:U182"/>
    <mergeCell ref="V182:Y182"/>
    <mergeCell ref="L177:M177"/>
    <mergeCell ref="H178:J178"/>
    <mergeCell ref="K178:N178"/>
    <mergeCell ref="O178:R178"/>
    <mergeCell ref="S178:U178"/>
    <mergeCell ref="V178:Y178"/>
    <mergeCell ref="O180:P180"/>
    <mergeCell ref="W177:X177"/>
    <mergeCell ref="W179:X179"/>
    <mergeCell ref="W180:X180"/>
    <mergeCell ref="W181:X181"/>
    <mergeCell ref="O114:P114"/>
    <mergeCell ref="O115:P115"/>
    <mergeCell ref="L114:M114"/>
    <mergeCell ref="L115:M115"/>
    <mergeCell ref="K119:N119"/>
    <mergeCell ref="O119:R119"/>
    <mergeCell ref="S119:U119"/>
    <mergeCell ref="L116:M116"/>
    <mergeCell ref="O116:P116"/>
    <mergeCell ref="L117:M117"/>
    <mergeCell ref="O117:P117"/>
    <mergeCell ref="L118:M118"/>
    <mergeCell ref="O118:P118"/>
    <mergeCell ref="H119:J119"/>
    <mergeCell ref="K123:N123"/>
    <mergeCell ref="O123:R123"/>
    <mergeCell ref="S123:U123"/>
    <mergeCell ref="O122:P122"/>
    <mergeCell ref="H123:J123"/>
    <mergeCell ref="D150:G150"/>
    <mergeCell ref="H150:J150"/>
    <mergeCell ref="K150:N150"/>
    <mergeCell ref="O150:R150"/>
    <mergeCell ref="S150:U150"/>
    <mergeCell ref="S137:U137"/>
    <mergeCell ref="L138:M138"/>
    <mergeCell ref="O138:P138"/>
    <mergeCell ref="L139:M139"/>
    <mergeCell ref="O139:P139"/>
    <mergeCell ref="L140:M140"/>
    <mergeCell ref="O140:P140"/>
    <mergeCell ref="A142:AX143"/>
    <mergeCell ref="L134:M134"/>
    <mergeCell ref="O134:P134"/>
    <mergeCell ref="L135:M135"/>
    <mergeCell ref="O135:P135"/>
    <mergeCell ref="L136:M136"/>
    <mergeCell ref="O136:P136"/>
    <mergeCell ref="A150:A151"/>
    <mergeCell ref="B150:B151"/>
    <mergeCell ref="C150:C151"/>
    <mergeCell ref="D151:E151"/>
    <mergeCell ref="A133:A140"/>
    <mergeCell ref="O154:P154"/>
    <mergeCell ref="V150:Y150"/>
    <mergeCell ref="AL150:AN151"/>
    <mergeCell ref="AO150:AX151"/>
    <mergeCell ref="L151:M151"/>
    <mergeCell ref="O151:P151"/>
    <mergeCell ref="W151:X151"/>
    <mergeCell ref="AA149:AA151"/>
    <mergeCell ref="AB149:AC151"/>
    <mergeCell ref="AD149:AK151"/>
    <mergeCell ref="AL149:AX149"/>
    <mergeCell ref="AD154:AK154"/>
    <mergeCell ref="AL154:AN154"/>
    <mergeCell ref="L124:M124"/>
    <mergeCell ref="O124:P124"/>
    <mergeCell ref="L125:M125"/>
    <mergeCell ref="O125:P125"/>
    <mergeCell ref="L126:M126"/>
    <mergeCell ref="O126:P126"/>
    <mergeCell ref="O127:P127"/>
    <mergeCell ref="O132:P132"/>
    <mergeCell ref="O133:P133"/>
    <mergeCell ref="L127:M127"/>
    <mergeCell ref="L128:M128"/>
    <mergeCell ref="L129:M129"/>
    <mergeCell ref="L131:M131"/>
    <mergeCell ref="O131:P131"/>
    <mergeCell ref="L132:M132"/>
    <mergeCell ref="L133:M133"/>
    <mergeCell ref="K137:N137"/>
    <mergeCell ref="O137:R137"/>
    <mergeCell ref="AD152:AK152"/>
    <mergeCell ref="AL152:AN152"/>
    <mergeCell ref="AO152:AX152"/>
    <mergeCell ref="W157:X157"/>
    <mergeCell ref="W158:X158"/>
    <mergeCell ref="W159:X159"/>
    <mergeCell ref="AB153:AC153"/>
    <mergeCell ref="AB154:AC154"/>
    <mergeCell ref="W155:X155"/>
    <mergeCell ref="AB155:AC155"/>
    <mergeCell ref="V156:Y156"/>
    <mergeCell ref="AB156:AC156"/>
    <mergeCell ref="AB157:AC157"/>
    <mergeCell ref="D149:N149"/>
    <mergeCell ref="O149:U149"/>
    <mergeCell ref="W139:X139"/>
    <mergeCell ref="W140:X140"/>
    <mergeCell ref="D153:E153"/>
    <mergeCell ref="H152:J152"/>
    <mergeCell ref="K152:N152"/>
    <mergeCell ref="O152:R152"/>
    <mergeCell ref="S152:U152"/>
    <mergeCell ref="V152:Y152"/>
    <mergeCell ref="L153:M153"/>
    <mergeCell ref="W153:X153"/>
    <mergeCell ref="AD153:AK153"/>
    <mergeCell ref="AL153:AN153"/>
    <mergeCell ref="AO153:AX153"/>
    <mergeCell ref="L154:M154"/>
    <mergeCell ref="W154:X154"/>
    <mergeCell ref="AO154:AX154"/>
    <mergeCell ref="O153:P153"/>
    <mergeCell ref="H160:J160"/>
    <mergeCell ref="K160:N160"/>
    <mergeCell ref="O160:R160"/>
    <mergeCell ref="S160:U160"/>
    <mergeCell ref="V160:Y160"/>
    <mergeCell ref="AB160:AC160"/>
    <mergeCell ref="AD160:AK160"/>
    <mergeCell ref="L155:M155"/>
    <mergeCell ref="O155:P155"/>
    <mergeCell ref="H156:J156"/>
    <mergeCell ref="O156:R156"/>
    <mergeCell ref="S156:U156"/>
    <mergeCell ref="AD156:AK156"/>
    <mergeCell ref="AD157:AK157"/>
    <mergeCell ref="AL157:AN157"/>
    <mergeCell ref="AO157:AX157"/>
    <mergeCell ref="AD158:AK158"/>
    <mergeCell ref="AL158:AN158"/>
    <mergeCell ref="AO158:AX158"/>
    <mergeCell ref="AD155:AK155"/>
    <mergeCell ref="AL155:AN155"/>
    <mergeCell ref="AO155:AX155"/>
    <mergeCell ref="AL156:AN156"/>
    <mergeCell ref="AO156:AX156"/>
    <mergeCell ref="AB158:AC158"/>
    <mergeCell ref="AL168:AN168"/>
    <mergeCell ref="AD164:AK164"/>
    <mergeCell ref="AD165:AK165"/>
    <mergeCell ref="AL165:AN165"/>
    <mergeCell ref="AO165:AX165"/>
    <mergeCell ref="AD166:AK166"/>
    <mergeCell ref="AB159:AC159"/>
    <mergeCell ref="AD159:AK159"/>
    <mergeCell ref="AL159:AN159"/>
    <mergeCell ref="AO159:AX159"/>
    <mergeCell ref="K156:N156"/>
    <mergeCell ref="L157:M157"/>
    <mergeCell ref="O157:P157"/>
    <mergeCell ref="L158:M158"/>
    <mergeCell ref="O158:P158"/>
    <mergeCell ref="L159:M159"/>
    <mergeCell ref="O159:P159"/>
    <mergeCell ref="AL160:AN160"/>
    <mergeCell ref="AO160:AX160"/>
    <mergeCell ref="AB161:AC161"/>
    <mergeCell ref="AB162:AC162"/>
    <mergeCell ref="W163:X163"/>
    <mergeCell ref="AB163:AC163"/>
    <mergeCell ref="W164:X164"/>
    <mergeCell ref="AB164:AC164"/>
    <mergeCell ref="AB165:AC165"/>
    <mergeCell ref="AB166:AC166"/>
    <mergeCell ref="AB167:AC167"/>
    <mergeCell ref="D174:E174"/>
    <mergeCell ref="D175:E175"/>
    <mergeCell ref="D176:E176"/>
    <mergeCell ref="D177:E177"/>
    <mergeCell ref="D178:G178"/>
    <mergeCell ref="D179:E179"/>
    <mergeCell ref="L161:M161"/>
    <mergeCell ref="W161:X161"/>
    <mergeCell ref="AD161:AK161"/>
    <mergeCell ref="AL161:AN161"/>
    <mergeCell ref="AO161:AX161"/>
    <mergeCell ref="L162:M162"/>
    <mergeCell ref="W162:X162"/>
    <mergeCell ref="AO162:AX162"/>
    <mergeCell ref="AD162:AK162"/>
    <mergeCell ref="AL162:AN162"/>
    <mergeCell ref="AD163:AK163"/>
    <mergeCell ref="AL163:AN163"/>
    <mergeCell ref="AO163:AX163"/>
    <mergeCell ref="AL164:AN164"/>
    <mergeCell ref="AO164:AX164"/>
    <mergeCell ref="L164:M164"/>
    <mergeCell ref="L168:M168"/>
    <mergeCell ref="O161:P161"/>
    <mergeCell ref="O162:P162"/>
    <mergeCell ref="L163:M163"/>
    <mergeCell ref="O163:P163"/>
    <mergeCell ref="O164:P164"/>
    <mergeCell ref="O165:P165"/>
    <mergeCell ref="O166:P166"/>
    <mergeCell ref="O168:P168"/>
    <mergeCell ref="AL167:AN167"/>
    <mergeCell ref="A152:A162"/>
    <mergeCell ref="D154:E154"/>
    <mergeCell ref="D155:E155"/>
    <mergeCell ref="D156:G156"/>
    <mergeCell ref="D157:E157"/>
    <mergeCell ref="D158:E158"/>
    <mergeCell ref="D159:E159"/>
    <mergeCell ref="D160:G160"/>
    <mergeCell ref="A163:A173"/>
    <mergeCell ref="A174:A184"/>
    <mergeCell ref="A185:A195"/>
    <mergeCell ref="AL166:AN166"/>
    <mergeCell ref="AO166:AX166"/>
    <mergeCell ref="L179:M179"/>
    <mergeCell ref="O179:P179"/>
    <mergeCell ref="D180:E180"/>
    <mergeCell ref="D181:E181"/>
    <mergeCell ref="D182:G182"/>
    <mergeCell ref="O173:P173"/>
    <mergeCell ref="O174:P174"/>
    <mergeCell ref="L175:M175"/>
    <mergeCell ref="O175:P175"/>
    <mergeCell ref="L176:M176"/>
    <mergeCell ref="O176:P176"/>
    <mergeCell ref="O177:P177"/>
    <mergeCell ref="D168:E168"/>
    <mergeCell ref="D169:E169"/>
    <mergeCell ref="D170:E170"/>
    <mergeCell ref="D171:G171"/>
    <mergeCell ref="D172:E172"/>
    <mergeCell ref="D173:E173"/>
    <mergeCell ref="H189:J189"/>
    <mergeCell ref="K189:N189"/>
    <mergeCell ref="O189:R189"/>
    <mergeCell ref="L185:M185"/>
    <mergeCell ref="L186:M186"/>
    <mergeCell ref="O186:P186"/>
    <mergeCell ref="L187:M187"/>
    <mergeCell ref="O187:P187"/>
    <mergeCell ref="L188:M188"/>
    <mergeCell ref="O188:P188"/>
    <mergeCell ref="L190:M190"/>
    <mergeCell ref="O190:P190"/>
    <mergeCell ref="D183:E183"/>
    <mergeCell ref="D184:E184"/>
    <mergeCell ref="D194:E194"/>
    <mergeCell ref="D195:E195"/>
    <mergeCell ref="D187:E187"/>
    <mergeCell ref="D188:E188"/>
    <mergeCell ref="D189:G189"/>
    <mergeCell ref="D190:E190"/>
    <mergeCell ref="D191:E191"/>
    <mergeCell ref="D192:E192"/>
    <mergeCell ref="D193:G193"/>
    <mergeCell ref="H193:J193"/>
    <mergeCell ref="H200:J200"/>
    <mergeCell ref="K200:N200"/>
    <mergeCell ref="O200:R200"/>
    <mergeCell ref="O205:P205"/>
    <mergeCell ref="O206:P206"/>
    <mergeCell ref="D54:E54"/>
    <mergeCell ref="D55:E55"/>
    <mergeCell ref="D65:E65"/>
    <mergeCell ref="D66:E66"/>
    <mergeCell ref="D67:G67"/>
    <mergeCell ref="D68:E68"/>
    <mergeCell ref="D69:E69"/>
    <mergeCell ref="D70:E70"/>
    <mergeCell ref="D82:G82"/>
    <mergeCell ref="D83:E83"/>
    <mergeCell ref="D84:E84"/>
    <mergeCell ref="D85:E85"/>
    <mergeCell ref="D86:G86"/>
    <mergeCell ref="D87:E87"/>
    <mergeCell ref="D102:E102"/>
    <mergeCell ref="D103:E103"/>
    <mergeCell ref="D104:E104"/>
    <mergeCell ref="D105:E105"/>
    <mergeCell ref="D106:E106"/>
    <mergeCell ref="D107:E107"/>
    <mergeCell ref="D108:G108"/>
    <mergeCell ref="D109:E109"/>
    <mergeCell ref="L183:M183"/>
    <mergeCell ref="O183:P183"/>
    <mergeCell ref="L184:M184"/>
    <mergeCell ref="O184:P184"/>
    <mergeCell ref="D152:G152"/>
    <mergeCell ref="A93:A103"/>
    <mergeCell ref="A104:A114"/>
    <mergeCell ref="A115:A125"/>
    <mergeCell ref="A126:A132"/>
    <mergeCell ref="K193:N193"/>
    <mergeCell ref="O193:R193"/>
    <mergeCell ref="L194:M194"/>
    <mergeCell ref="O194:P194"/>
    <mergeCell ref="L195:M195"/>
    <mergeCell ref="O195:P195"/>
    <mergeCell ref="O196:P196"/>
    <mergeCell ref="L196:M196"/>
    <mergeCell ref="L197:M197"/>
    <mergeCell ref="O197:P197"/>
    <mergeCell ref="K80:N80"/>
    <mergeCell ref="O80:R80"/>
    <mergeCell ref="D110:E110"/>
    <mergeCell ref="D111:E111"/>
    <mergeCell ref="D112:G112"/>
    <mergeCell ref="D113:E113"/>
    <mergeCell ref="D114:E114"/>
    <mergeCell ref="D115:E115"/>
    <mergeCell ref="D130:G130"/>
    <mergeCell ref="D131:E131"/>
    <mergeCell ref="D123:G123"/>
    <mergeCell ref="D124:E124"/>
    <mergeCell ref="D125:E125"/>
    <mergeCell ref="D126:E126"/>
    <mergeCell ref="D127:E127"/>
    <mergeCell ref="D128:E128"/>
    <mergeCell ref="D129:E129"/>
    <mergeCell ref="D139:E139"/>
    <mergeCell ref="A2:AX3"/>
    <mergeCell ref="O9:U9"/>
    <mergeCell ref="AA9:AA11"/>
    <mergeCell ref="AB9:AC11"/>
    <mergeCell ref="AL9:AX9"/>
    <mergeCell ref="AO10:AX11"/>
    <mergeCell ref="O11:P11"/>
    <mergeCell ref="AD9:AK11"/>
    <mergeCell ref="AL10:AN11"/>
    <mergeCell ref="AD12:AK12"/>
    <mergeCell ref="AL12:AN12"/>
    <mergeCell ref="AO12:AX12"/>
    <mergeCell ref="AL13:AN13"/>
    <mergeCell ref="AO13:AX13"/>
    <mergeCell ref="AO21:AX21"/>
    <mergeCell ref="AO22:AX22"/>
    <mergeCell ref="AO23:AX23"/>
    <mergeCell ref="AO14:AX14"/>
    <mergeCell ref="D22:E22"/>
    <mergeCell ref="A23:A33"/>
    <mergeCell ref="D23:E23"/>
    <mergeCell ref="D24:E24"/>
    <mergeCell ref="D25:E25"/>
    <mergeCell ref="D26:E26"/>
    <mergeCell ref="D27:G27"/>
    <mergeCell ref="AL25:AN25"/>
    <mergeCell ref="AL26:AN26"/>
    <mergeCell ref="AB28:AC28"/>
    <mergeCell ref="AL28:AN28"/>
    <mergeCell ref="AB29:AC29"/>
    <mergeCell ref="AL29:AN29"/>
    <mergeCell ref="AB30:AC30"/>
    <mergeCell ref="AO15:AX15"/>
    <mergeCell ref="AO16:AX16"/>
    <mergeCell ref="AO17:AX17"/>
    <mergeCell ref="AO18:AX18"/>
    <mergeCell ref="AO19:AX19"/>
    <mergeCell ref="AO20:AX20"/>
    <mergeCell ref="A10:A11"/>
    <mergeCell ref="B10:B11"/>
    <mergeCell ref="A12:A22"/>
    <mergeCell ref="H10:J10"/>
    <mergeCell ref="K10:N10"/>
    <mergeCell ref="O16:R16"/>
    <mergeCell ref="S16:U16"/>
    <mergeCell ref="V16:Y16"/>
    <mergeCell ref="AB16:AC16"/>
    <mergeCell ref="AD16:AK16"/>
    <mergeCell ref="AL16:AN16"/>
    <mergeCell ref="L17:M17"/>
    <mergeCell ref="L18:M18"/>
    <mergeCell ref="L19:M19"/>
    <mergeCell ref="O19:P19"/>
    <mergeCell ref="K20:N20"/>
    <mergeCell ref="O20:R20"/>
    <mergeCell ref="S20:U20"/>
    <mergeCell ref="L21:M21"/>
    <mergeCell ref="L22:M22"/>
    <mergeCell ref="V20:Y20"/>
    <mergeCell ref="AB21:AC21"/>
    <mergeCell ref="AD21:AK21"/>
    <mergeCell ref="AL21:AN21"/>
    <mergeCell ref="AB22:AC22"/>
    <mergeCell ref="AD22:AK22"/>
    <mergeCell ref="S27:U27"/>
    <mergeCell ref="V27:Y27"/>
    <mergeCell ref="AB27:AC27"/>
    <mergeCell ref="AL27:AN27"/>
    <mergeCell ref="L32:M32"/>
    <mergeCell ref="L33:M33"/>
    <mergeCell ref="L34:M34"/>
    <mergeCell ref="L28:M28"/>
    <mergeCell ref="O28:P28"/>
    <mergeCell ref="L29:M29"/>
    <mergeCell ref="O29:P29"/>
    <mergeCell ref="L30:M30"/>
    <mergeCell ref="O30:P30"/>
    <mergeCell ref="O32:P32"/>
    <mergeCell ref="D15:E15"/>
    <mergeCell ref="D16:G16"/>
    <mergeCell ref="H16:J16"/>
    <mergeCell ref="K16:N16"/>
    <mergeCell ref="D17:E17"/>
    <mergeCell ref="O17:P17"/>
    <mergeCell ref="O18:P18"/>
    <mergeCell ref="D18:E18"/>
    <mergeCell ref="D19:E19"/>
    <mergeCell ref="D20:G20"/>
    <mergeCell ref="H20:J20"/>
    <mergeCell ref="D21:E21"/>
    <mergeCell ref="O21:P21"/>
    <mergeCell ref="L23:M23"/>
    <mergeCell ref="L26:M26"/>
    <mergeCell ref="H27:J27"/>
    <mergeCell ref="K27:N27"/>
    <mergeCell ref="D33:E33"/>
    <mergeCell ref="W21:X21"/>
    <mergeCell ref="W22:X22"/>
    <mergeCell ref="W23:X23"/>
    <mergeCell ref="W24:X24"/>
    <mergeCell ref="W25:X25"/>
    <mergeCell ref="W26:X26"/>
    <mergeCell ref="W28:X28"/>
    <mergeCell ref="W29:X29"/>
    <mergeCell ref="W30:X30"/>
    <mergeCell ref="AS36:AS43"/>
    <mergeCell ref="AT36:AT43"/>
    <mergeCell ref="AU36:AU43"/>
    <mergeCell ref="AV36:AV43"/>
    <mergeCell ref="AW36:AW43"/>
    <mergeCell ref="AX36:AX43"/>
    <mergeCell ref="AK36:AK43"/>
    <mergeCell ref="AL36:AL43"/>
    <mergeCell ref="AM36:AM43"/>
    <mergeCell ref="AN36:AN43"/>
    <mergeCell ref="AO36:AO43"/>
    <mergeCell ref="AP36:AP43"/>
    <mergeCell ref="AQ36:AQ43"/>
    <mergeCell ref="W37:X37"/>
    <mergeCell ref="V38:Y38"/>
    <mergeCell ref="W39:X39"/>
    <mergeCell ref="W40:X40"/>
    <mergeCell ref="W43:X43"/>
    <mergeCell ref="W41:X41"/>
    <mergeCell ref="V42:Y42"/>
    <mergeCell ref="AL22:AN22"/>
    <mergeCell ref="AL30:AN30"/>
    <mergeCell ref="AL31:AN31"/>
    <mergeCell ref="W44:X44"/>
    <mergeCell ref="W45:X45"/>
    <mergeCell ref="W46:X46"/>
    <mergeCell ref="W47:X47"/>
    <mergeCell ref="V31:Y31"/>
    <mergeCell ref="W32:X32"/>
    <mergeCell ref="W33:X33"/>
    <mergeCell ref="W34:X34"/>
    <mergeCell ref="W35:X35"/>
    <mergeCell ref="W36:X36"/>
    <mergeCell ref="AA36:AC42"/>
    <mergeCell ref="AA46:AC47"/>
    <mergeCell ref="AD46:AD47"/>
    <mergeCell ref="AE46:AE47"/>
    <mergeCell ref="AF46:AF47"/>
    <mergeCell ref="AG46:AG47"/>
    <mergeCell ref="AH46:AH47"/>
    <mergeCell ref="AA44:AC45"/>
    <mergeCell ref="AD44:AD45"/>
    <mergeCell ref="AE44:AE45"/>
    <mergeCell ref="AF44:AF45"/>
    <mergeCell ref="AG44:AG45"/>
    <mergeCell ref="AH44:AH45"/>
    <mergeCell ref="D80:G80"/>
    <mergeCell ref="H80:J80"/>
    <mergeCell ref="W70:X70"/>
    <mergeCell ref="AA79:AA81"/>
    <mergeCell ref="AB79:AC81"/>
    <mergeCell ref="AD79:AK81"/>
    <mergeCell ref="V80:Y80"/>
    <mergeCell ref="AL80:AN81"/>
    <mergeCell ref="AO80:AX81"/>
    <mergeCell ref="D81:E81"/>
    <mergeCell ref="L81:M81"/>
    <mergeCell ref="O81:P81"/>
    <mergeCell ref="W81:X81"/>
    <mergeCell ref="W62:X62"/>
    <mergeCell ref="W63:X63"/>
    <mergeCell ref="A72:AX73"/>
    <mergeCell ref="AL79:AX79"/>
    <mergeCell ref="L70:M70"/>
    <mergeCell ref="O70:P70"/>
    <mergeCell ref="O79:U79"/>
    <mergeCell ref="D79:N79"/>
    <mergeCell ref="D64:E64"/>
    <mergeCell ref="AK48:AK49"/>
    <mergeCell ref="AI48:AI49"/>
    <mergeCell ref="AL48:AL49"/>
    <mergeCell ref="AN48:AN49"/>
    <mergeCell ref="AO48:AO49"/>
    <mergeCell ref="L68:M68"/>
    <mergeCell ref="O68:P68"/>
    <mergeCell ref="L69:M69"/>
    <mergeCell ref="O69:P69"/>
    <mergeCell ref="AL100:AN100"/>
    <mergeCell ref="AL101:AN101"/>
    <mergeCell ref="AL102:AN102"/>
    <mergeCell ref="AL103:AN103"/>
    <mergeCell ref="AL104:AN104"/>
    <mergeCell ref="AL94:AN94"/>
    <mergeCell ref="AD95:AK95"/>
    <mergeCell ref="AL95:AN95"/>
    <mergeCell ref="AL96:AN96"/>
    <mergeCell ref="AL97:AN97"/>
    <mergeCell ref="AL98:AN98"/>
    <mergeCell ref="AL99:AN99"/>
    <mergeCell ref="W48:X48"/>
    <mergeCell ref="V49:Y49"/>
    <mergeCell ref="W50:X50"/>
    <mergeCell ref="W51:X51"/>
    <mergeCell ref="W52:X52"/>
    <mergeCell ref="V53:Y53"/>
    <mergeCell ref="W54:X54"/>
    <mergeCell ref="W55:X55"/>
    <mergeCell ref="W56:X56"/>
    <mergeCell ref="W57:X57"/>
    <mergeCell ref="W58:X58"/>
    <mergeCell ref="W59:X59"/>
    <mergeCell ref="V60:Y60"/>
    <mergeCell ref="W61:X61"/>
    <mergeCell ref="W64:X64"/>
    <mergeCell ref="W65:X65"/>
    <mergeCell ref="W66:X66"/>
    <mergeCell ref="V67:Y67"/>
    <mergeCell ref="W68:X68"/>
    <mergeCell ref="W69:X69"/>
    <mergeCell ref="V82:Y82"/>
    <mergeCell ref="AD82:AK82"/>
    <mergeCell ref="AL82:AN82"/>
    <mergeCell ref="W83:X83"/>
    <mergeCell ref="AD83:AK83"/>
    <mergeCell ref="AL83:AN83"/>
    <mergeCell ref="AD84:AK84"/>
    <mergeCell ref="AL84:AN84"/>
    <mergeCell ref="AB87:AC87"/>
    <mergeCell ref="AB88:AC88"/>
    <mergeCell ref="AD86:AK86"/>
    <mergeCell ref="AD87:AK87"/>
    <mergeCell ref="AL87:AN87"/>
    <mergeCell ref="AD88:AK88"/>
    <mergeCell ref="AL88:AN88"/>
    <mergeCell ref="AB104:AC104"/>
    <mergeCell ref="AA108:AC114"/>
    <mergeCell ref="AD108:AD115"/>
    <mergeCell ref="AE108:AE115"/>
    <mergeCell ref="AF108:AF115"/>
    <mergeCell ref="AG108:AG115"/>
    <mergeCell ref="AH108:AH115"/>
    <mergeCell ref="AA115:AC115"/>
    <mergeCell ref="AI108:AI115"/>
    <mergeCell ref="AJ108:AJ115"/>
    <mergeCell ref="AK108:AK115"/>
    <mergeCell ref="AL108:AL115"/>
    <mergeCell ref="AM108:AM115"/>
    <mergeCell ref="AN108:AN115"/>
    <mergeCell ref="AB97:AC97"/>
    <mergeCell ref="AB98:AC98"/>
    <mergeCell ref="AB100:AC100"/>
    <mergeCell ref="AB101:AC101"/>
    <mergeCell ref="AB102:AC102"/>
    <mergeCell ref="AB103:AC103"/>
    <mergeCell ref="AO108:AO115"/>
    <mergeCell ref="AW108:AW115"/>
    <mergeCell ref="AX108:AX115"/>
    <mergeCell ref="AP108:AP115"/>
    <mergeCell ref="AQ108:AQ115"/>
    <mergeCell ref="AR108:AR115"/>
    <mergeCell ref="AS108:AS115"/>
    <mergeCell ref="AT108:AT115"/>
    <mergeCell ref="AU108:AU115"/>
    <mergeCell ref="AV108:AV115"/>
    <mergeCell ref="AD116:AD117"/>
    <mergeCell ref="AE116:AE117"/>
    <mergeCell ref="AF116:AF117"/>
    <mergeCell ref="AG116:AG117"/>
    <mergeCell ref="AH116:AH117"/>
    <mergeCell ref="W117:X117"/>
    <mergeCell ref="AD120:AD121"/>
    <mergeCell ref="AE120:AE121"/>
    <mergeCell ref="AF120:AF121"/>
    <mergeCell ref="AG120:AG121"/>
    <mergeCell ref="AH120:AH121"/>
    <mergeCell ref="W121:X121"/>
    <mergeCell ref="AA116:AC117"/>
    <mergeCell ref="AD118:AD119"/>
    <mergeCell ref="AE118:AE119"/>
    <mergeCell ref="AF118:AF119"/>
    <mergeCell ref="AG118:AG119"/>
    <mergeCell ref="AH118:AH119"/>
    <mergeCell ref="V119:Y119"/>
    <mergeCell ref="AI116:AI117"/>
    <mergeCell ref="AJ116:AJ117"/>
    <mergeCell ref="AK116:AK117"/>
    <mergeCell ref="AL116:AL117"/>
    <mergeCell ref="AM116:AM121"/>
    <mergeCell ref="AN116:AN117"/>
    <mergeCell ref="AO116:AO117"/>
    <mergeCell ref="AW116:AW117"/>
    <mergeCell ref="AX116:AX121"/>
    <mergeCell ref="AW118:AW119"/>
    <mergeCell ref="AW120:AW121"/>
    <mergeCell ref="AP116:AP117"/>
    <mergeCell ref="AQ116:AQ117"/>
    <mergeCell ref="AR116:AR117"/>
    <mergeCell ref="AS116:AS117"/>
    <mergeCell ref="AT116:AT117"/>
    <mergeCell ref="AU116:AU117"/>
    <mergeCell ref="AV116:AV117"/>
    <mergeCell ref="AI118:AI119"/>
    <mergeCell ref="AJ118:AJ119"/>
    <mergeCell ref="AK118:AK119"/>
    <mergeCell ref="AL118:AL119"/>
    <mergeCell ref="AU118:AU119"/>
    <mergeCell ref="AV118:AV119"/>
    <mergeCell ref="AN118:AN119"/>
    <mergeCell ref="AO118:AO119"/>
    <mergeCell ref="AP118:AP119"/>
    <mergeCell ref="AQ118:AQ119"/>
    <mergeCell ref="AR118:AR119"/>
    <mergeCell ref="AS118:AS119"/>
    <mergeCell ref="AT118:AT119"/>
    <mergeCell ref="AU120:AU121"/>
    <mergeCell ref="AV120:AV121"/>
    <mergeCell ref="AI120:AI121"/>
    <mergeCell ref="AJ120:AJ121"/>
    <mergeCell ref="AP120:AP121"/>
    <mergeCell ref="AQ120:AQ121"/>
    <mergeCell ref="AR120:AR121"/>
    <mergeCell ref="AS120:AS121"/>
    <mergeCell ref="AT120:AT121"/>
    <mergeCell ref="AB126:AW127"/>
    <mergeCell ref="W134:X134"/>
    <mergeCell ref="W135:X135"/>
    <mergeCell ref="W136:X136"/>
    <mergeCell ref="V137:Y137"/>
    <mergeCell ref="AK120:AK121"/>
    <mergeCell ref="AL120:AL121"/>
    <mergeCell ref="AN120:AN121"/>
    <mergeCell ref="AO120:AO121"/>
    <mergeCell ref="W127:X127"/>
    <mergeCell ref="W128:X128"/>
    <mergeCell ref="W129:X129"/>
    <mergeCell ref="V130:Y130"/>
    <mergeCell ref="W131:X131"/>
    <mergeCell ref="W132:X132"/>
    <mergeCell ref="W133:X133"/>
    <mergeCell ref="D118:E118"/>
    <mergeCell ref="D119:G119"/>
    <mergeCell ref="D120:E120"/>
    <mergeCell ref="D121:E121"/>
    <mergeCell ref="D122:E122"/>
    <mergeCell ref="W116:X116"/>
    <mergeCell ref="D140:E140"/>
    <mergeCell ref="D132:E132"/>
    <mergeCell ref="D133:E133"/>
    <mergeCell ref="D134:E134"/>
    <mergeCell ref="D135:E135"/>
    <mergeCell ref="D136:E136"/>
    <mergeCell ref="D137:G137"/>
    <mergeCell ref="D138:E138"/>
    <mergeCell ref="L120:M120"/>
    <mergeCell ref="O120:P120"/>
    <mergeCell ref="L121:M121"/>
    <mergeCell ref="O121:P121"/>
    <mergeCell ref="L122:M122"/>
    <mergeCell ref="H137:J137"/>
    <mergeCell ref="O128:P128"/>
    <mergeCell ref="O129:P129"/>
    <mergeCell ref="H130:J130"/>
    <mergeCell ref="K130:N130"/>
    <mergeCell ref="O130:R130"/>
    <mergeCell ref="S130:U130"/>
    <mergeCell ref="H207:J207"/>
    <mergeCell ref="K207:N207"/>
    <mergeCell ref="L208:M208"/>
    <mergeCell ref="L209:M209"/>
    <mergeCell ref="L210:M210"/>
    <mergeCell ref="D185:E185"/>
    <mergeCell ref="D186:E186"/>
    <mergeCell ref="D196:E196"/>
    <mergeCell ref="D197:E197"/>
    <mergeCell ref="D198:E198"/>
    <mergeCell ref="D199:E199"/>
    <mergeCell ref="D202:E202"/>
    <mergeCell ref="D37:E37"/>
    <mergeCell ref="D45:E45"/>
    <mergeCell ref="D46:E46"/>
    <mergeCell ref="D47:E47"/>
    <mergeCell ref="D49:G49"/>
    <mergeCell ref="D48:E48"/>
    <mergeCell ref="D50:E50"/>
    <mergeCell ref="D51:E51"/>
    <mergeCell ref="D52:E52"/>
    <mergeCell ref="D53:G53"/>
    <mergeCell ref="L198:M198"/>
    <mergeCell ref="L199:M199"/>
    <mergeCell ref="L204:M204"/>
    <mergeCell ref="L205:M205"/>
    <mergeCell ref="L206:M206"/>
    <mergeCell ref="L201:M201"/>
    <mergeCell ref="L202:M202"/>
    <mergeCell ref="L203:M203"/>
    <mergeCell ref="L191:M191"/>
    <mergeCell ref="L192:M192"/>
    <mergeCell ref="A34:A44"/>
    <mergeCell ref="D34:E34"/>
    <mergeCell ref="D35:E35"/>
    <mergeCell ref="D36:E36"/>
    <mergeCell ref="A45:A55"/>
    <mergeCell ref="D161:E161"/>
    <mergeCell ref="D162:E162"/>
    <mergeCell ref="D163:E163"/>
    <mergeCell ref="D164:E164"/>
    <mergeCell ref="D165:E165"/>
    <mergeCell ref="D166:E166"/>
    <mergeCell ref="D167:G167"/>
    <mergeCell ref="D208:E208"/>
    <mergeCell ref="D209:E209"/>
    <mergeCell ref="A196:A202"/>
    <mergeCell ref="A203:A210"/>
    <mergeCell ref="D203:E203"/>
    <mergeCell ref="D204:E204"/>
    <mergeCell ref="D205:E205"/>
    <mergeCell ref="D206:E206"/>
    <mergeCell ref="D207:G207"/>
    <mergeCell ref="D210:E210"/>
    <mergeCell ref="D200:G200"/>
    <mergeCell ref="D201:E201"/>
    <mergeCell ref="A80:A81"/>
    <mergeCell ref="B80:B81"/>
    <mergeCell ref="C80:C81"/>
    <mergeCell ref="A56:A62"/>
    <mergeCell ref="A63:A70"/>
    <mergeCell ref="A82:A92"/>
    <mergeCell ref="D116:E116"/>
    <mergeCell ref="D117:E117"/>
    <mergeCell ref="AF230:AF231"/>
    <mergeCell ref="AG230:AG231"/>
    <mergeCell ref="AA228:AC229"/>
    <mergeCell ref="AD228:AD229"/>
    <mergeCell ref="AE228:AE229"/>
    <mergeCell ref="AF228:AF229"/>
    <mergeCell ref="AG228:AG229"/>
    <mergeCell ref="AH228:AH229"/>
    <mergeCell ref="AA230:AC231"/>
    <mergeCell ref="AH230:AH231"/>
    <mergeCell ref="AK230:AK231"/>
    <mergeCell ref="AL230:AL231"/>
    <mergeCell ref="AN230:AN231"/>
    <mergeCell ref="AO230:AO231"/>
    <mergeCell ref="AI226:AI227"/>
    <mergeCell ref="AJ226:AJ227"/>
    <mergeCell ref="AK226:AK227"/>
    <mergeCell ref="AL226:AL227"/>
    <mergeCell ref="AM226:AM231"/>
    <mergeCell ref="AN226:AN227"/>
    <mergeCell ref="AO226:AO227"/>
    <mergeCell ref="AW226:AW227"/>
    <mergeCell ref="AX226:AX231"/>
    <mergeCell ref="AW228:AW229"/>
    <mergeCell ref="AW230:AW231"/>
    <mergeCell ref="AP226:AP227"/>
    <mergeCell ref="AQ226:AQ227"/>
    <mergeCell ref="AR226:AR227"/>
    <mergeCell ref="AS226:AS227"/>
    <mergeCell ref="AT226:AT227"/>
    <mergeCell ref="AU226:AU227"/>
    <mergeCell ref="AV226:AV227"/>
    <mergeCell ref="AA225:AC225"/>
    <mergeCell ref="AA226:AC227"/>
    <mergeCell ref="AD226:AD227"/>
    <mergeCell ref="AE226:AE227"/>
    <mergeCell ref="AF226:AF227"/>
    <mergeCell ref="AG226:AG227"/>
    <mergeCell ref="AH226:AH227"/>
    <mergeCell ref="AI228:AI229"/>
    <mergeCell ref="AJ228:AJ229"/>
    <mergeCell ref="AK228:AK229"/>
    <mergeCell ref="AL228:AL229"/>
    <mergeCell ref="AD230:AD231"/>
    <mergeCell ref="AE230:AE231"/>
    <mergeCell ref="AU230:AU231"/>
    <mergeCell ref="AV230:AV231"/>
    <mergeCell ref="AI230:AI231"/>
    <mergeCell ref="AJ230:AJ231"/>
    <mergeCell ref="AP230:AP231"/>
    <mergeCell ref="AQ230:AQ231"/>
    <mergeCell ref="AR230:AR231"/>
    <mergeCell ref="AS230:AS231"/>
    <mergeCell ref="AT230:AT231"/>
    <mergeCell ref="AB82:AC82"/>
    <mergeCell ref="AB83:AC83"/>
    <mergeCell ref="W84:X84"/>
    <mergeCell ref="AB84:AC84"/>
    <mergeCell ref="W85:X85"/>
    <mergeCell ref="AB85:AC85"/>
    <mergeCell ref="AB86:AC86"/>
    <mergeCell ref="AB90:AC90"/>
    <mergeCell ref="AB91:AC91"/>
    <mergeCell ref="V86:Y86"/>
    <mergeCell ref="W87:X87"/>
    <mergeCell ref="W88:X88"/>
    <mergeCell ref="W89:X89"/>
    <mergeCell ref="AB89:AC89"/>
    <mergeCell ref="V90:Y90"/>
    <mergeCell ref="W91:X91"/>
    <mergeCell ref="W92:X92"/>
    <mergeCell ref="AB92:AC92"/>
    <mergeCell ref="W93:X93"/>
    <mergeCell ref="AB93:AC93"/>
    <mergeCell ref="W94:X94"/>
    <mergeCell ref="AB94:AC94"/>
    <mergeCell ref="AB95:AC95"/>
    <mergeCell ref="W95:X95"/>
    <mergeCell ref="W96:X96"/>
    <mergeCell ref="V97:Y97"/>
    <mergeCell ref="W98:X98"/>
    <mergeCell ref="W99:X99"/>
    <mergeCell ref="W100:X100"/>
    <mergeCell ref="V101:Y101"/>
    <mergeCell ref="AB96:AC96"/>
    <mergeCell ref="AA118:AC119"/>
    <mergeCell ref="AA120:AC121"/>
    <mergeCell ref="W122:X122"/>
    <mergeCell ref="V123:Y123"/>
    <mergeCell ref="W124:X124"/>
    <mergeCell ref="W125:X125"/>
    <mergeCell ref="W126:X126"/>
    <mergeCell ref="W118:X118"/>
    <mergeCell ref="W120:X120"/>
    <mergeCell ref="W183:X183"/>
    <mergeCell ref="AA183:AC184"/>
    <mergeCell ref="W102:X102"/>
    <mergeCell ref="W103:X103"/>
    <mergeCell ref="W104:X104"/>
    <mergeCell ref="W105:X105"/>
    <mergeCell ref="W106:X106"/>
    <mergeCell ref="W107:X107"/>
    <mergeCell ref="V108:Y108"/>
    <mergeCell ref="W109:X109"/>
    <mergeCell ref="W110:X110"/>
    <mergeCell ref="W111:X111"/>
    <mergeCell ref="V112:Y112"/>
    <mergeCell ref="W113:X113"/>
    <mergeCell ref="W114:X114"/>
    <mergeCell ref="W115:X115"/>
    <mergeCell ref="W138:X138"/>
    <mergeCell ref="AB152:AC152"/>
    <mergeCell ref="AA175:AC181"/>
    <mergeCell ref="AB169:AC170"/>
    <mergeCell ref="W174:X174"/>
    <mergeCell ref="W175:X175"/>
    <mergeCell ref="W172:X172"/>
    <mergeCell ref="S189:U189"/>
    <mergeCell ref="V189:Y189"/>
    <mergeCell ref="AG185:AG186"/>
    <mergeCell ref="AH185:AH186"/>
    <mergeCell ref="AN185:AN186"/>
    <mergeCell ref="AO185:AO186"/>
    <mergeCell ref="AP185:AP186"/>
    <mergeCell ref="AQ185:AQ186"/>
    <mergeCell ref="AR185:AR186"/>
    <mergeCell ref="AI185:AI186"/>
    <mergeCell ref="AJ185:AJ186"/>
    <mergeCell ref="AW183:AW184"/>
    <mergeCell ref="AX183:AX188"/>
    <mergeCell ref="AU185:AU186"/>
    <mergeCell ref="AV185:AV186"/>
    <mergeCell ref="AW185:AW186"/>
    <mergeCell ref="AW187:AW188"/>
    <mergeCell ref="AN183:AN184"/>
    <mergeCell ref="AO183:AO184"/>
    <mergeCell ref="AP183:AP184"/>
    <mergeCell ref="AQ183:AQ184"/>
    <mergeCell ref="AR183:AR184"/>
    <mergeCell ref="AS183:AS184"/>
    <mergeCell ref="AT183:AT184"/>
    <mergeCell ref="AS185:AS186"/>
    <mergeCell ref="AT185:AT186"/>
    <mergeCell ref="AA185:AC186"/>
    <mergeCell ref="AA187:AC188"/>
    <mergeCell ref="AD187:AD188"/>
    <mergeCell ref="AL185:AL186"/>
    <mergeCell ref="AI187:AI188"/>
    <mergeCell ref="AJ187:AJ188"/>
    <mergeCell ref="AB193:AW194"/>
    <mergeCell ref="W194:X194"/>
    <mergeCell ref="AE187:AE188"/>
    <mergeCell ref="AF187:AF188"/>
    <mergeCell ref="W188:X188"/>
    <mergeCell ref="AN187:AN188"/>
    <mergeCell ref="AO187:AO188"/>
    <mergeCell ref="AP187:AP188"/>
    <mergeCell ref="AQ187:AQ188"/>
    <mergeCell ref="AR187:AR188"/>
    <mergeCell ref="AS187:AS188"/>
    <mergeCell ref="AT187:AT188"/>
    <mergeCell ref="W184:X184"/>
    <mergeCell ref="W185:X185"/>
    <mergeCell ref="AD185:AD186"/>
    <mergeCell ref="AE185:AE186"/>
    <mergeCell ref="AF185:AF186"/>
    <mergeCell ref="W186:X186"/>
    <mergeCell ref="W187:X187"/>
    <mergeCell ref="AU187:AU188"/>
    <mergeCell ref="AV187:AV188"/>
    <mergeCell ref="AU183:AU184"/>
    <mergeCell ref="AV183:AV184"/>
    <mergeCell ref="AL183:AL184"/>
    <mergeCell ref="AM183:AM188"/>
    <mergeCell ref="AG187:AG188"/>
    <mergeCell ref="AH187:AH188"/>
    <mergeCell ref="AK187:AK188"/>
    <mergeCell ref="AL187:AL188"/>
    <mergeCell ref="AD183:AD184"/>
    <mergeCell ref="AE183:AE184"/>
    <mergeCell ref="AF183:AF184"/>
    <mergeCell ref="O208:P208"/>
    <mergeCell ref="O209:P209"/>
    <mergeCell ref="O210:P210"/>
    <mergeCell ref="W204:X204"/>
    <mergeCell ref="W205:X205"/>
    <mergeCell ref="W206:X206"/>
    <mergeCell ref="O207:R207"/>
    <mergeCell ref="S207:U207"/>
    <mergeCell ref="V207:Y207"/>
    <mergeCell ref="W208:X208"/>
    <mergeCell ref="W209:X209"/>
    <mergeCell ref="W210:X210"/>
    <mergeCell ref="AG183:AG184"/>
    <mergeCell ref="AH183:AH184"/>
    <mergeCell ref="AI183:AI184"/>
    <mergeCell ref="AJ183:AJ184"/>
    <mergeCell ref="AK183:AK184"/>
    <mergeCell ref="AK185:AK186"/>
    <mergeCell ref="O198:P198"/>
    <mergeCell ref="O199:P199"/>
    <mergeCell ref="O201:P201"/>
    <mergeCell ref="O202:P202"/>
    <mergeCell ref="O203:P203"/>
    <mergeCell ref="O204:P204"/>
    <mergeCell ref="O191:P191"/>
    <mergeCell ref="O192:P192"/>
    <mergeCell ref="O185:P185"/>
    <mergeCell ref="W190:X190"/>
    <mergeCell ref="W191:X191"/>
    <mergeCell ref="W192:X192"/>
    <mergeCell ref="S193:U193"/>
    <mergeCell ref="V193:Y193"/>
    <mergeCell ref="AW218:AW225"/>
    <mergeCell ref="AX218:AX225"/>
    <mergeCell ref="AO218:AO225"/>
    <mergeCell ref="AP218:AP225"/>
    <mergeCell ref="AQ218:AQ225"/>
    <mergeCell ref="AR218:AR225"/>
    <mergeCell ref="AS218:AS225"/>
    <mergeCell ref="AT218:AT225"/>
    <mergeCell ref="AU218:AU225"/>
    <mergeCell ref="W195:X195"/>
    <mergeCell ref="W196:X196"/>
    <mergeCell ref="W197:X197"/>
    <mergeCell ref="W198:X198"/>
    <mergeCell ref="W199:X199"/>
    <mergeCell ref="S200:U200"/>
    <mergeCell ref="V200:Y200"/>
    <mergeCell ref="W201:X201"/>
    <mergeCell ref="W202:X202"/>
    <mergeCell ref="W203:X203"/>
    <mergeCell ref="AA218:AC224"/>
    <mergeCell ref="AD218:AD225"/>
    <mergeCell ref="AE218:AE225"/>
    <mergeCell ref="AF218:AF225"/>
    <mergeCell ref="AG218:AG225"/>
    <mergeCell ref="AU228:AU229"/>
    <mergeCell ref="AV228:AV229"/>
    <mergeCell ref="AN228:AN229"/>
    <mergeCell ref="AO228:AO229"/>
    <mergeCell ref="AP228:AP229"/>
    <mergeCell ref="AQ228:AQ229"/>
    <mergeCell ref="AR228:AR229"/>
    <mergeCell ref="AS228:AS229"/>
    <mergeCell ref="AT228:AT229"/>
    <mergeCell ref="AH218:AH225"/>
    <mergeCell ref="AI218:AI225"/>
    <mergeCell ref="AJ218:AJ225"/>
    <mergeCell ref="AK218:AK225"/>
    <mergeCell ref="AL218:AL225"/>
    <mergeCell ref="AM218:AM225"/>
    <mergeCell ref="AN218:AN225"/>
    <mergeCell ref="AV218:AV225"/>
  </mergeCells>
  <pageMargins left="0.39" right="0.21" top="0.21" bottom="0.18" header="0" footer="0"/>
  <pageSetup paperSize="5" orientation="landscape"/>
  <rowBreaks count="2" manualBreakCount="2">
    <brk id="70" man="1"/>
    <brk id="140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topLeftCell="A34" workbookViewId="0">
      <selection sqref="A1:P1"/>
    </sheetView>
  </sheetViews>
  <sheetFormatPr defaultColWidth="14.42578125" defaultRowHeight="15" customHeight="1" x14ac:dyDescent="0.25"/>
  <cols>
    <col min="1" max="1" width="9.140625" customWidth="1"/>
    <col min="2" max="11" width="6.7109375" customWidth="1"/>
    <col min="12" max="12" width="4" customWidth="1"/>
    <col min="13" max="26" width="6.7109375" customWidth="1"/>
    <col min="27" max="27" width="4.7109375" customWidth="1"/>
    <col min="28" max="41" width="6.7109375" customWidth="1"/>
    <col min="42" max="42" width="4.7109375" customWidth="1"/>
    <col min="43" max="46" width="6.7109375" customWidth="1"/>
  </cols>
  <sheetData>
    <row r="1" spans="1:46" x14ac:dyDescent="0.25">
      <c r="A1" s="439" t="s">
        <v>477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14">
        <v>1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x14ac:dyDescent="0.25">
      <c r="A2" s="439" t="s">
        <v>496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</row>
    <row r="3" spans="1:46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</row>
    <row r="4" spans="1:46" x14ac:dyDescent="0.25">
      <c r="A4" s="440" t="s">
        <v>384</v>
      </c>
      <c r="B4" s="430" t="s">
        <v>290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430" t="s">
        <v>334</v>
      </c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3"/>
      <c r="AF4" s="430" t="s">
        <v>355</v>
      </c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3"/>
    </row>
    <row r="5" spans="1:46" x14ac:dyDescent="0.25">
      <c r="A5" s="250"/>
      <c r="B5" s="190">
        <v>1</v>
      </c>
      <c r="C5" s="190">
        <v>2</v>
      </c>
      <c r="D5" s="190">
        <v>3</v>
      </c>
      <c r="E5" s="190">
        <v>4</v>
      </c>
      <c r="F5" s="190">
        <v>5</v>
      </c>
      <c r="G5" s="190">
        <v>6</v>
      </c>
      <c r="H5" s="190">
        <v>7</v>
      </c>
      <c r="I5" s="190">
        <v>8</v>
      </c>
      <c r="J5" s="190">
        <v>9</v>
      </c>
      <c r="K5" s="190">
        <v>10</v>
      </c>
      <c r="L5" s="215">
        <v>11</v>
      </c>
      <c r="M5" s="190">
        <v>12</v>
      </c>
      <c r="N5" s="190">
        <v>13</v>
      </c>
      <c r="O5" s="190">
        <v>14</v>
      </c>
      <c r="P5" s="190">
        <v>15</v>
      </c>
      <c r="Q5" s="190">
        <v>1</v>
      </c>
      <c r="R5" s="190">
        <v>2</v>
      </c>
      <c r="S5" s="190">
        <v>3</v>
      </c>
      <c r="T5" s="190">
        <v>4</v>
      </c>
      <c r="U5" s="190">
        <v>5</v>
      </c>
      <c r="V5" s="190">
        <v>6</v>
      </c>
      <c r="W5" s="190">
        <v>7</v>
      </c>
      <c r="X5" s="190">
        <v>8</v>
      </c>
      <c r="Y5" s="190">
        <v>9</v>
      </c>
      <c r="Z5" s="190">
        <v>10</v>
      </c>
      <c r="AA5" s="215">
        <v>11</v>
      </c>
      <c r="AB5" s="190">
        <v>12</v>
      </c>
      <c r="AC5" s="190">
        <v>13</v>
      </c>
      <c r="AD5" s="190">
        <v>14</v>
      </c>
      <c r="AE5" s="190">
        <v>15</v>
      </c>
      <c r="AF5" s="190">
        <v>1</v>
      </c>
      <c r="AG5" s="190">
        <v>2</v>
      </c>
      <c r="AH5" s="190">
        <v>3</v>
      </c>
      <c r="AI5" s="190">
        <v>4</v>
      </c>
      <c r="AJ5" s="190">
        <v>5</v>
      </c>
      <c r="AK5" s="190">
        <v>6</v>
      </c>
      <c r="AL5" s="190">
        <v>7</v>
      </c>
      <c r="AM5" s="190">
        <v>8</v>
      </c>
      <c r="AN5" s="190">
        <v>9</v>
      </c>
      <c r="AO5" s="190">
        <v>10</v>
      </c>
      <c r="AP5" s="215">
        <v>11</v>
      </c>
      <c r="AQ5" s="190">
        <v>12</v>
      </c>
      <c r="AR5" s="190">
        <v>13</v>
      </c>
      <c r="AS5" s="190">
        <v>14</v>
      </c>
      <c r="AT5" s="190">
        <v>15</v>
      </c>
    </row>
    <row r="6" spans="1:46" ht="33" customHeight="1" x14ac:dyDescent="0.25">
      <c r="A6" s="192" t="s">
        <v>478</v>
      </c>
      <c r="B6" s="206" t="e">
        <f>Q39</f>
        <v>#REF!</v>
      </c>
      <c r="C6" s="206" t="e">
        <f>Q39</f>
        <v>#REF!</v>
      </c>
      <c r="D6" s="206" t="e">
        <f>Q48</f>
        <v>#REF!</v>
      </c>
      <c r="E6" s="206" t="e">
        <f t="shared" ref="E6:I6" si="0">$D$6</f>
        <v>#REF!</v>
      </c>
      <c r="F6" s="206" t="e">
        <f t="shared" si="0"/>
        <v>#REF!</v>
      </c>
      <c r="G6" s="206" t="e">
        <f t="shared" si="0"/>
        <v>#REF!</v>
      </c>
      <c r="H6" s="206" t="e">
        <f t="shared" si="0"/>
        <v>#REF!</v>
      </c>
      <c r="I6" s="206" t="e">
        <f t="shared" si="0"/>
        <v>#REF!</v>
      </c>
      <c r="J6" s="206" t="e">
        <f>Q41</f>
        <v>#REF!</v>
      </c>
      <c r="K6" s="206" t="e">
        <f>$J$6</f>
        <v>#REF!</v>
      </c>
      <c r="L6" s="432" t="s">
        <v>479</v>
      </c>
      <c r="M6" s="207" t="e">
        <f t="shared" ref="M6:P6" si="1">$J$6</f>
        <v>#REF!</v>
      </c>
      <c r="N6" s="207" t="e">
        <f t="shared" si="1"/>
        <v>#REF!</v>
      </c>
      <c r="O6" s="216" t="e">
        <f t="shared" si="1"/>
        <v>#REF!</v>
      </c>
      <c r="P6" s="216" t="e">
        <f t="shared" si="1"/>
        <v>#REF!</v>
      </c>
      <c r="Q6" s="217" t="e">
        <f t="shared" ref="Q6:R6" si="2">$C$7</f>
        <v>#REF!</v>
      </c>
      <c r="R6" s="217" t="e">
        <f t="shared" si="2"/>
        <v>#REF!</v>
      </c>
      <c r="S6" s="218" t="e">
        <f>$K$10</f>
        <v>#REF!</v>
      </c>
      <c r="T6" s="218" t="e">
        <f t="shared" ref="T6:V6" si="3">$E$9</f>
        <v>#REF!</v>
      </c>
      <c r="U6" s="218" t="e">
        <f t="shared" si="3"/>
        <v>#REF!</v>
      </c>
      <c r="V6" s="218" t="e">
        <f t="shared" si="3"/>
        <v>#REF!</v>
      </c>
      <c r="W6" s="219" t="e">
        <f>Q37</f>
        <v>#REF!</v>
      </c>
      <c r="X6" s="219" t="e">
        <f>$W$6</f>
        <v>#REF!</v>
      </c>
      <c r="Y6" s="219" t="e">
        <f>Q38</f>
        <v>#REF!</v>
      </c>
      <c r="Z6" s="219" t="e">
        <f>$Y$6</f>
        <v>#REF!</v>
      </c>
      <c r="AA6" s="432" t="s">
        <v>479</v>
      </c>
      <c r="AB6" s="220" t="e">
        <f>Q43</f>
        <v>#REF!</v>
      </c>
      <c r="AC6" s="220" t="e">
        <f t="shared" ref="AC6:AE6" si="4">$AB$6</f>
        <v>#REF!</v>
      </c>
      <c r="AD6" s="221" t="e">
        <f t="shared" si="4"/>
        <v>#REF!</v>
      </c>
      <c r="AE6" s="221" t="e">
        <f t="shared" si="4"/>
        <v>#REF!</v>
      </c>
      <c r="AF6" s="217" t="e">
        <f>Q33</f>
        <v>#REF!</v>
      </c>
      <c r="AG6" s="217" t="e">
        <f t="shared" ref="AG6:AI6" si="5">$AF$6</f>
        <v>#REF!</v>
      </c>
      <c r="AH6" s="217" t="e">
        <f t="shared" si="5"/>
        <v>#REF!</v>
      </c>
      <c r="AI6" s="217" t="e">
        <f t="shared" si="5"/>
        <v>#REF!</v>
      </c>
      <c r="AJ6" s="217" t="e">
        <f>Q31</f>
        <v>#REF!</v>
      </c>
      <c r="AK6" s="217" t="e">
        <f t="shared" ref="AK6:AL6" si="6">$AJ$6</f>
        <v>#REF!</v>
      </c>
      <c r="AL6" s="219" t="e">
        <f t="shared" si="6"/>
        <v>#REF!</v>
      </c>
      <c r="AM6" s="222"/>
      <c r="AN6" s="222"/>
      <c r="AO6" s="222"/>
      <c r="AP6" s="432" t="s">
        <v>479</v>
      </c>
      <c r="AQ6" s="220" t="e">
        <f t="shared" ref="AQ6:AT6" si="7">$I$13</f>
        <v>#REF!</v>
      </c>
      <c r="AR6" s="220" t="e">
        <f t="shared" si="7"/>
        <v>#REF!</v>
      </c>
      <c r="AS6" s="221" t="e">
        <f t="shared" si="7"/>
        <v>#REF!</v>
      </c>
      <c r="AT6" s="221" t="e">
        <f t="shared" si="7"/>
        <v>#REF!</v>
      </c>
    </row>
    <row r="7" spans="1:46" ht="33" customHeight="1" x14ac:dyDescent="0.25">
      <c r="A7" s="192" t="s">
        <v>480</v>
      </c>
      <c r="B7" s="206" t="e">
        <f>Q44</f>
        <v>#REF!</v>
      </c>
      <c r="C7" s="206" t="e">
        <f>$B$7</f>
        <v>#REF!</v>
      </c>
      <c r="D7" s="206" t="e">
        <f t="shared" ref="D7:G7" si="8">$H$7</f>
        <v>#REF!</v>
      </c>
      <c r="E7" s="206" t="e">
        <f t="shared" si="8"/>
        <v>#REF!</v>
      </c>
      <c r="F7" s="207" t="e">
        <f t="shared" si="8"/>
        <v>#REF!</v>
      </c>
      <c r="G7" s="207" t="e">
        <f t="shared" si="8"/>
        <v>#REF!</v>
      </c>
      <c r="H7" s="207" t="e">
        <f>Q41</f>
        <v>#REF!</v>
      </c>
      <c r="I7" s="206" t="e">
        <f>$H$7</f>
        <v>#REF!</v>
      </c>
      <c r="J7" s="206" t="e">
        <f>Q49</f>
        <v>#REF!</v>
      </c>
      <c r="K7" s="207" t="e">
        <f>$J$7</f>
        <v>#REF!</v>
      </c>
      <c r="L7" s="253"/>
      <c r="M7" s="206" t="e">
        <f t="shared" ref="M7:P7" si="9">$J$7</f>
        <v>#REF!</v>
      </c>
      <c r="N7" s="206" t="e">
        <f t="shared" si="9"/>
        <v>#REF!</v>
      </c>
      <c r="O7" s="206" t="e">
        <f t="shared" si="9"/>
        <v>#REF!</v>
      </c>
      <c r="P7" s="206" t="e">
        <f t="shared" si="9"/>
        <v>#REF!</v>
      </c>
      <c r="Q7" s="218" t="e">
        <f t="shared" ref="Q7:S7" si="10">$E$9</f>
        <v>#REF!</v>
      </c>
      <c r="R7" s="218" t="e">
        <f t="shared" si="10"/>
        <v>#REF!</v>
      </c>
      <c r="S7" s="218" t="e">
        <f t="shared" si="10"/>
        <v>#REF!</v>
      </c>
      <c r="T7" s="217" t="e">
        <f>$S$6</f>
        <v>#REF!</v>
      </c>
      <c r="U7" s="223" t="e">
        <f t="shared" ref="U7:V7" si="11">$B$6</f>
        <v>#REF!</v>
      </c>
      <c r="V7" s="223" t="e">
        <f t="shared" si="11"/>
        <v>#REF!</v>
      </c>
      <c r="W7" s="220" t="e">
        <f t="shared" ref="W7:Z7" si="12">$E$6</f>
        <v>#REF!</v>
      </c>
      <c r="X7" s="219" t="e">
        <f t="shared" si="12"/>
        <v>#REF!</v>
      </c>
      <c r="Y7" s="219" t="e">
        <f t="shared" si="12"/>
        <v>#REF!</v>
      </c>
      <c r="Z7" s="220" t="e">
        <f t="shared" si="12"/>
        <v>#REF!</v>
      </c>
      <c r="AA7" s="253"/>
      <c r="AB7" s="219" t="e">
        <f t="shared" ref="AB7:AE7" si="13">$E$6</f>
        <v>#REF!</v>
      </c>
      <c r="AC7" s="219" t="e">
        <f t="shared" si="13"/>
        <v>#REF!</v>
      </c>
      <c r="AD7" s="219" t="e">
        <f t="shared" si="13"/>
        <v>#REF!</v>
      </c>
      <c r="AE7" s="219" t="e">
        <f t="shared" si="13"/>
        <v>#REF!</v>
      </c>
      <c r="AF7" s="217" t="e">
        <f t="shared" ref="AF7:AH7" si="14">$AJ$6</f>
        <v>#REF!</v>
      </c>
      <c r="AG7" s="217" t="e">
        <f t="shared" si="14"/>
        <v>#REF!</v>
      </c>
      <c r="AH7" s="217" t="e">
        <f t="shared" si="14"/>
        <v>#REF!</v>
      </c>
      <c r="AI7" s="218" t="e">
        <f t="shared" ref="AI7:AK7" si="15">$Q$7</f>
        <v>#REF!</v>
      </c>
      <c r="AJ7" s="224" t="e">
        <f t="shared" si="15"/>
        <v>#REF!</v>
      </c>
      <c r="AK7" s="224" t="e">
        <f t="shared" si="15"/>
        <v>#REF!</v>
      </c>
      <c r="AL7" s="225" t="e">
        <f t="shared" ref="AL7:AO7" si="16">$AQ$6</f>
        <v>#REF!</v>
      </c>
      <c r="AM7" s="222" t="e">
        <f t="shared" si="16"/>
        <v>#REF!</v>
      </c>
      <c r="AN7" s="222" t="e">
        <f t="shared" si="16"/>
        <v>#REF!</v>
      </c>
      <c r="AO7" s="225" t="e">
        <f t="shared" si="16"/>
        <v>#REF!</v>
      </c>
      <c r="AP7" s="253"/>
      <c r="AQ7" s="219" t="e">
        <f t="shared" ref="AQ7:AT7" si="17">$AF$6</f>
        <v>#REF!</v>
      </c>
      <c r="AR7" s="219" t="e">
        <f t="shared" si="17"/>
        <v>#REF!</v>
      </c>
      <c r="AS7" s="219" t="e">
        <f t="shared" si="17"/>
        <v>#REF!</v>
      </c>
      <c r="AT7" s="219" t="e">
        <f t="shared" si="17"/>
        <v>#REF!</v>
      </c>
    </row>
    <row r="8" spans="1:46" x14ac:dyDescent="0.25">
      <c r="A8" s="192" t="s">
        <v>481</v>
      </c>
      <c r="B8" s="207" t="e">
        <f>Q36</f>
        <v>#REF!</v>
      </c>
      <c r="C8" s="207" t="e">
        <f>Q36</f>
        <v>#REF!</v>
      </c>
      <c r="D8" s="207" t="e">
        <f>Q36</f>
        <v>#REF!</v>
      </c>
      <c r="E8" s="207" t="e">
        <f>Q31</f>
        <v>#REF!</v>
      </c>
      <c r="F8" s="207" t="e">
        <f>Q31</f>
        <v>#REF!</v>
      </c>
      <c r="G8" s="207" t="e">
        <f>Q31</f>
        <v>#REF!</v>
      </c>
      <c r="H8" s="208" t="e">
        <f t="shared" ref="H8:I8" si="18">$B$7</f>
        <v>#REF!</v>
      </c>
      <c r="I8" s="208" t="e">
        <f t="shared" si="18"/>
        <v>#REF!</v>
      </c>
      <c r="J8" s="208" t="e">
        <f t="shared" ref="J8:K8" si="19">$B$6</f>
        <v>#REF!</v>
      </c>
      <c r="K8" s="207" t="e">
        <f t="shared" si="19"/>
        <v>#REF!</v>
      </c>
      <c r="L8" s="253"/>
      <c r="M8" s="208" t="e">
        <f>$H$10</f>
        <v>#REF!</v>
      </c>
      <c r="N8" s="208" t="e">
        <f t="shared" ref="N8:O8" si="20">$M$8</f>
        <v>#REF!</v>
      </c>
      <c r="O8" s="208" t="e">
        <f t="shared" si="20"/>
        <v>#REF!</v>
      </c>
      <c r="P8" s="206" t="e">
        <f>$K$10</f>
        <v>#REF!</v>
      </c>
      <c r="Q8" s="223" t="e">
        <f t="shared" ref="Q8:R8" si="21">$W$6</f>
        <v>#REF!</v>
      </c>
      <c r="R8" s="223" t="e">
        <f t="shared" si="21"/>
        <v>#REF!</v>
      </c>
      <c r="S8" s="223" t="e">
        <f t="shared" ref="S8:X8" si="22">$D$7</f>
        <v>#REF!</v>
      </c>
      <c r="T8" s="223" t="e">
        <f t="shared" si="22"/>
        <v>#REF!</v>
      </c>
      <c r="U8" s="223" t="e">
        <f t="shared" si="22"/>
        <v>#REF!</v>
      </c>
      <c r="V8" s="223" t="e">
        <f t="shared" si="22"/>
        <v>#REF!</v>
      </c>
      <c r="W8" s="219" t="e">
        <f t="shared" si="22"/>
        <v>#REF!</v>
      </c>
      <c r="X8" s="219" t="e">
        <f t="shared" si="22"/>
        <v>#REF!</v>
      </c>
      <c r="Y8" s="219" t="e">
        <f t="shared" ref="Y8:Z8" si="23">$J$7</f>
        <v>#REF!</v>
      </c>
      <c r="Z8" s="220" t="e">
        <f t="shared" si="23"/>
        <v>#REF!</v>
      </c>
      <c r="AA8" s="253"/>
      <c r="AB8" s="219" t="e">
        <f t="shared" ref="AB8:AE8" si="24">$J$7</f>
        <v>#REF!</v>
      </c>
      <c r="AC8" s="219" t="e">
        <f t="shared" si="24"/>
        <v>#REF!</v>
      </c>
      <c r="AD8" s="219" t="e">
        <f t="shared" si="24"/>
        <v>#REF!</v>
      </c>
      <c r="AE8" s="219" t="e">
        <f t="shared" si="24"/>
        <v>#REF!</v>
      </c>
      <c r="AF8" s="223" t="e">
        <f>Q34</f>
        <v>#REF!</v>
      </c>
      <c r="AG8" s="223" t="e">
        <f>$AF$8</f>
        <v>#REF!</v>
      </c>
      <c r="AH8" s="223" t="e">
        <f t="shared" ref="AH8:AK8" si="25">$AQ$6</f>
        <v>#REF!</v>
      </c>
      <c r="AI8" s="223" t="e">
        <f t="shared" si="25"/>
        <v>#REF!</v>
      </c>
      <c r="AJ8" s="223" t="e">
        <f t="shared" si="25"/>
        <v>#REF!</v>
      </c>
      <c r="AK8" s="223" t="e">
        <f t="shared" si="25"/>
        <v>#REF!</v>
      </c>
      <c r="AL8" s="219" t="e">
        <f t="shared" ref="AL8:AO8" si="26">$AQ$7</f>
        <v>#REF!</v>
      </c>
      <c r="AM8" s="219" t="e">
        <f t="shared" si="26"/>
        <v>#REF!</v>
      </c>
      <c r="AN8" s="219" t="e">
        <f t="shared" si="26"/>
        <v>#REF!</v>
      </c>
      <c r="AO8" s="220" t="e">
        <f t="shared" si="26"/>
        <v>#REF!</v>
      </c>
      <c r="AP8" s="253"/>
      <c r="AQ8" s="219" t="e">
        <f>W9</f>
        <v>#REF!</v>
      </c>
      <c r="AR8" s="219" t="e">
        <f t="shared" ref="AR8:AT8" si="27">$AQ$8</f>
        <v>#REF!</v>
      </c>
      <c r="AS8" s="219" t="e">
        <f t="shared" si="27"/>
        <v>#REF!</v>
      </c>
      <c r="AT8" s="220" t="e">
        <f t="shared" si="27"/>
        <v>#REF!</v>
      </c>
    </row>
    <row r="9" spans="1:46" ht="30" customHeight="1" x14ac:dyDescent="0.25">
      <c r="A9" s="192" t="s">
        <v>78</v>
      </c>
      <c r="B9" s="207" t="e">
        <f>Q31</f>
        <v>#REF!</v>
      </c>
      <c r="C9" s="207" t="e">
        <f t="shared" ref="C9:D9" si="28">$B$9</f>
        <v>#REF!</v>
      </c>
      <c r="D9" s="207" t="e">
        <f t="shared" si="28"/>
        <v>#REF!</v>
      </c>
      <c r="E9" s="210" t="e">
        <f>CONCATENATE(Q61,"/",Q62)</f>
        <v>#REF!</v>
      </c>
      <c r="F9" s="210" t="e">
        <f t="shared" ref="F9:G9" si="29">$E$9</f>
        <v>#REF!</v>
      </c>
      <c r="G9" s="210" t="e">
        <f t="shared" si="29"/>
        <v>#REF!</v>
      </c>
      <c r="H9" s="207" t="e">
        <f>Q38</f>
        <v>#REF!</v>
      </c>
      <c r="I9" s="206" t="e">
        <f>$H$9</f>
        <v>#REF!</v>
      </c>
      <c r="J9" s="206" t="e">
        <f t="shared" ref="J9:K9" si="30">$B$7</f>
        <v>#REF!</v>
      </c>
      <c r="K9" s="206" t="e">
        <f t="shared" si="30"/>
        <v>#REF!</v>
      </c>
      <c r="L9" s="253"/>
      <c r="M9" s="207" t="e">
        <f t="shared" ref="M9:P9" si="31">$H$13</f>
        <v>#REF!</v>
      </c>
      <c r="N9" s="207" t="e">
        <f t="shared" si="31"/>
        <v>#REF!</v>
      </c>
      <c r="O9" s="207" t="e">
        <f t="shared" si="31"/>
        <v>#REF!</v>
      </c>
      <c r="P9" s="207" t="e">
        <f t="shared" si="31"/>
        <v>#REF!</v>
      </c>
      <c r="Q9" s="223" t="e">
        <f t="shared" ref="Q9:S9" si="32">$B$8</f>
        <v>#REF!</v>
      </c>
      <c r="R9" s="223" t="e">
        <f t="shared" si="32"/>
        <v>#REF!</v>
      </c>
      <c r="S9" s="223" t="e">
        <f t="shared" si="32"/>
        <v>#REF!</v>
      </c>
      <c r="T9" s="223" t="e">
        <f t="shared" ref="T9:U9" si="33">$Q$8</f>
        <v>#REF!</v>
      </c>
      <c r="U9" s="223" t="e">
        <f t="shared" si="33"/>
        <v>#REF!</v>
      </c>
      <c r="V9" s="223" t="e">
        <f>$S$6</f>
        <v>#REF!</v>
      </c>
      <c r="W9" s="220" t="e">
        <f>Q43</f>
        <v>#REF!</v>
      </c>
      <c r="X9" s="219" t="e">
        <f t="shared" ref="X9:Z9" si="34">$W$9</f>
        <v>#REF!</v>
      </c>
      <c r="Y9" s="219" t="e">
        <f t="shared" si="34"/>
        <v>#REF!</v>
      </c>
      <c r="Z9" s="219" t="e">
        <f t="shared" si="34"/>
        <v>#REF!</v>
      </c>
      <c r="AA9" s="253"/>
      <c r="AB9" s="226"/>
      <c r="AC9" s="226"/>
      <c r="AD9" s="226"/>
      <c r="AE9" s="226"/>
      <c r="AF9" s="223" t="e">
        <f>Q32</f>
        <v>#REF!</v>
      </c>
      <c r="AG9" s="223" t="e">
        <f t="shared" ref="AG9:AI9" si="35">$AF$9</f>
        <v>#REF!</v>
      </c>
      <c r="AH9" s="223" t="e">
        <f t="shared" si="35"/>
        <v>#REF!</v>
      </c>
      <c r="AI9" s="223" t="e">
        <f t="shared" si="35"/>
        <v>#REF!</v>
      </c>
      <c r="AJ9" s="223" t="e">
        <f t="shared" ref="AJ9:AK9" si="36">$AF$8</f>
        <v>#REF!</v>
      </c>
      <c r="AK9" s="223" t="e">
        <f t="shared" si="36"/>
        <v>#REF!</v>
      </c>
      <c r="AL9" s="220" t="e">
        <f t="shared" ref="AL9:AM9" si="37">$J$8</f>
        <v>#REF!</v>
      </c>
      <c r="AM9" s="219" t="e">
        <f t="shared" si="37"/>
        <v>#REF!</v>
      </c>
      <c r="AN9" s="222"/>
      <c r="AO9" s="222"/>
      <c r="AP9" s="253"/>
      <c r="AQ9" s="220"/>
      <c r="AR9" s="220"/>
      <c r="AS9" s="220"/>
      <c r="AT9" s="220"/>
    </row>
    <row r="10" spans="1:46" x14ac:dyDescent="0.25">
      <c r="A10" s="192" t="s">
        <v>79</v>
      </c>
      <c r="B10" s="207" t="e">
        <f>Q30</f>
        <v>#REF!</v>
      </c>
      <c r="C10" s="207" t="e">
        <f t="shared" ref="C10:D10" si="38">$B$10</f>
        <v>#REF!</v>
      </c>
      <c r="D10" s="207" t="e">
        <f t="shared" si="38"/>
        <v>#REF!</v>
      </c>
      <c r="E10" s="206" t="e">
        <f>Q36</f>
        <v>#REF!</v>
      </c>
      <c r="F10" s="206" t="e">
        <f t="shared" ref="F10:G10" si="39">$E$10</f>
        <v>#REF!</v>
      </c>
      <c r="G10" s="206" t="e">
        <f t="shared" si="39"/>
        <v>#REF!</v>
      </c>
      <c r="H10" s="208" t="e">
        <f t="shared" ref="H10:J10" si="40">$E$9</f>
        <v>#REF!</v>
      </c>
      <c r="I10" s="208" t="e">
        <f t="shared" si="40"/>
        <v>#REF!</v>
      </c>
      <c r="J10" s="208" t="e">
        <f t="shared" si="40"/>
        <v>#REF!</v>
      </c>
      <c r="K10" s="207" t="e">
        <f>Q51</f>
        <v>#REF!</v>
      </c>
      <c r="L10" s="253"/>
      <c r="M10" s="207" t="e">
        <f t="shared" ref="M10:N10" si="41">$B$6</f>
        <v>#REF!</v>
      </c>
      <c r="N10" s="207" t="e">
        <f t="shared" si="41"/>
        <v>#REF!</v>
      </c>
      <c r="O10" s="207" t="e">
        <f t="shared" ref="O10:P10" si="42">$M$13</f>
        <v>#REF!</v>
      </c>
      <c r="P10" s="207" t="e">
        <f t="shared" si="42"/>
        <v>#REF!</v>
      </c>
      <c r="Q10" s="227" t="e">
        <f t="shared" ref="Q10:R10" si="43">$U$7</f>
        <v>#REF!</v>
      </c>
      <c r="R10" s="227" t="e">
        <f t="shared" si="43"/>
        <v>#REF!</v>
      </c>
      <c r="S10" s="223" t="e">
        <f t="shared" ref="S10:V10" si="44">$W$9</f>
        <v>#REF!</v>
      </c>
      <c r="T10" s="217" t="e">
        <f t="shared" si="44"/>
        <v>#REF!</v>
      </c>
      <c r="U10" s="217" t="e">
        <f t="shared" si="44"/>
        <v>#REF!</v>
      </c>
      <c r="V10" s="217" t="e">
        <f t="shared" si="44"/>
        <v>#REF!</v>
      </c>
      <c r="W10" s="219" t="e">
        <f t="shared" ref="W10:X10" si="45">$Q$11</f>
        <v>#REF!</v>
      </c>
      <c r="X10" s="219" t="e">
        <f t="shared" si="45"/>
        <v>#REF!</v>
      </c>
      <c r="Y10" s="222" t="e">
        <f>Q41</f>
        <v>#REF!</v>
      </c>
      <c r="Z10" s="225" t="e">
        <f>$Y$10</f>
        <v>#REF!</v>
      </c>
      <c r="AA10" s="253"/>
      <c r="AB10" s="220" t="e">
        <f t="shared" ref="AB10:AE10" si="46">$Y$10</f>
        <v>#REF!</v>
      </c>
      <c r="AC10" s="220" t="e">
        <f t="shared" si="46"/>
        <v>#REF!</v>
      </c>
      <c r="AD10" s="220" t="e">
        <f t="shared" si="46"/>
        <v>#REF!</v>
      </c>
      <c r="AE10" s="220" t="e">
        <f t="shared" si="46"/>
        <v>#REF!</v>
      </c>
      <c r="AF10" s="223" t="e">
        <f>Q46</f>
        <v>#REF!</v>
      </c>
      <c r="AG10" s="223" t="e">
        <f t="shared" ref="AG10:AK10" si="47">$AF$10</f>
        <v>#REF!</v>
      </c>
      <c r="AH10" s="223" t="e">
        <f t="shared" si="47"/>
        <v>#REF!</v>
      </c>
      <c r="AI10" s="217" t="e">
        <f t="shared" si="47"/>
        <v>#REF!</v>
      </c>
      <c r="AJ10" s="217" t="e">
        <f t="shared" si="47"/>
        <v>#REF!</v>
      </c>
      <c r="AK10" s="217" t="e">
        <f t="shared" si="47"/>
        <v>#REF!</v>
      </c>
      <c r="AL10" s="219" t="e">
        <f>Q47</f>
        <v>#REF!</v>
      </c>
      <c r="AM10" s="219" t="e">
        <f t="shared" ref="AM10:AO10" si="48">$AL$10</f>
        <v>#REF!</v>
      </c>
      <c r="AN10" s="219" t="e">
        <f t="shared" si="48"/>
        <v>#REF!</v>
      </c>
      <c r="AO10" s="220" t="e">
        <f t="shared" si="48"/>
        <v>#REF!</v>
      </c>
      <c r="AP10" s="253"/>
      <c r="AQ10" s="220" t="e">
        <f t="shared" ref="AQ10:AT10" si="49">$AL$10</f>
        <v>#REF!</v>
      </c>
      <c r="AR10" s="220" t="e">
        <f t="shared" si="49"/>
        <v>#REF!</v>
      </c>
      <c r="AS10" s="220" t="e">
        <f t="shared" si="49"/>
        <v>#REF!</v>
      </c>
      <c r="AT10" s="220" t="e">
        <f t="shared" si="49"/>
        <v>#REF!</v>
      </c>
    </row>
    <row r="11" spans="1:46" ht="33" customHeight="1" x14ac:dyDescent="0.25">
      <c r="A11" s="228" t="s">
        <v>482</v>
      </c>
      <c r="B11" s="229"/>
      <c r="C11" s="229"/>
      <c r="D11" s="210" t="e">
        <f>Q58</f>
        <v>#REF!</v>
      </c>
      <c r="E11" s="210" t="e">
        <f t="shared" ref="E11:I11" si="50">$D$11</f>
        <v>#REF!</v>
      </c>
      <c r="F11" s="210" t="e">
        <f t="shared" si="50"/>
        <v>#REF!</v>
      </c>
      <c r="G11" s="210" t="e">
        <f t="shared" si="50"/>
        <v>#REF!</v>
      </c>
      <c r="H11" s="210" t="e">
        <f t="shared" si="50"/>
        <v>#REF!</v>
      </c>
      <c r="I11" s="208" t="e">
        <f t="shared" si="50"/>
        <v>#REF!</v>
      </c>
      <c r="J11" s="208" t="e">
        <f>Q52</f>
        <v>#REF!</v>
      </c>
      <c r="K11" s="210" t="e">
        <f>$J$11</f>
        <v>#REF!</v>
      </c>
      <c r="L11" s="253"/>
      <c r="M11" s="208" t="e">
        <f t="shared" ref="M11:P11" si="51">$J$11</f>
        <v>#REF!</v>
      </c>
      <c r="N11" s="208" t="e">
        <f t="shared" si="51"/>
        <v>#REF!</v>
      </c>
      <c r="O11" s="210" t="e">
        <f t="shared" si="51"/>
        <v>#REF!</v>
      </c>
      <c r="P11" s="210" t="e">
        <f t="shared" si="51"/>
        <v>#REF!</v>
      </c>
      <c r="Q11" s="224" t="e">
        <f>Q34</f>
        <v>#REF!</v>
      </c>
      <c r="R11" s="224" t="e">
        <f>$Q$11</f>
        <v>#REF!</v>
      </c>
      <c r="S11" s="224" t="e">
        <f t="shared" ref="S11:T11" si="52">$B$6</f>
        <v>#REF!</v>
      </c>
      <c r="T11" s="224" t="e">
        <f t="shared" si="52"/>
        <v>#REF!</v>
      </c>
      <c r="U11" s="230"/>
      <c r="V11" s="230"/>
      <c r="W11" s="231" t="e">
        <f>Q53</f>
        <v>#REF!</v>
      </c>
      <c r="X11" s="232" t="e">
        <f t="shared" ref="X11:Z11" si="53">$W$11</f>
        <v>#REF!</v>
      </c>
      <c r="Y11" s="232" t="e">
        <f t="shared" si="53"/>
        <v>#REF!</v>
      </c>
      <c r="Z11" s="231" t="e">
        <f t="shared" si="53"/>
        <v>#REF!</v>
      </c>
      <c r="AA11" s="253"/>
      <c r="AB11" s="232" t="e">
        <f t="shared" ref="AB11:AE11" si="54">$W$11</f>
        <v>#REF!</v>
      </c>
      <c r="AC11" s="232" t="e">
        <f t="shared" si="54"/>
        <v>#REF!</v>
      </c>
      <c r="AD11" s="231" t="e">
        <f t="shared" si="54"/>
        <v>#REF!</v>
      </c>
      <c r="AE11" s="231" t="e">
        <f t="shared" si="54"/>
        <v>#REF!</v>
      </c>
      <c r="AF11" s="224" t="e">
        <f t="shared" ref="AF11:AH11" si="55">$I$10</f>
        <v>#REF!</v>
      </c>
      <c r="AG11" s="224" t="e">
        <f t="shared" si="55"/>
        <v>#REF!</v>
      </c>
      <c r="AH11" s="224" t="e">
        <f t="shared" si="55"/>
        <v>#REF!</v>
      </c>
      <c r="AI11" s="224" t="e">
        <f>Q36</f>
        <v>#REF!</v>
      </c>
      <c r="AJ11" s="224" t="e">
        <f t="shared" ref="AJ11:AK11" si="56">$AI$11</f>
        <v>#REF!</v>
      </c>
      <c r="AK11" s="224" t="e">
        <f t="shared" si="56"/>
        <v>#REF!</v>
      </c>
      <c r="AL11" s="233"/>
      <c r="AM11" s="234"/>
      <c r="AN11" s="234"/>
      <c r="AO11" s="233"/>
      <c r="AP11" s="253"/>
      <c r="AQ11" s="234"/>
      <c r="AR11" s="234"/>
      <c r="AS11" s="233"/>
      <c r="AT11" s="233"/>
    </row>
    <row r="12" spans="1:46" ht="33" customHeight="1" x14ac:dyDescent="0.25">
      <c r="A12" s="192" t="s">
        <v>483</v>
      </c>
      <c r="B12" s="207" t="e">
        <f>Q57</f>
        <v>#REF!</v>
      </c>
      <c r="C12" s="207" t="e">
        <f t="shared" ref="C12:I12" si="57">$B$12</f>
        <v>#REF!</v>
      </c>
      <c r="D12" s="207" t="e">
        <f t="shared" si="57"/>
        <v>#REF!</v>
      </c>
      <c r="E12" s="207" t="e">
        <f t="shared" si="57"/>
        <v>#REF!</v>
      </c>
      <c r="F12" s="207" t="e">
        <f t="shared" si="57"/>
        <v>#REF!</v>
      </c>
      <c r="G12" s="207" t="e">
        <f t="shared" si="57"/>
        <v>#REF!</v>
      </c>
      <c r="H12" s="207" t="e">
        <f t="shared" si="57"/>
        <v>#REF!</v>
      </c>
      <c r="I12" s="206" t="e">
        <f t="shared" si="57"/>
        <v>#REF!</v>
      </c>
      <c r="J12" s="206" t="e">
        <f>Q58</f>
        <v>#REF!</v>
      </c>
      <c r="K12" s="207" t="e">
        <f>$J$12</f>
        <v>#REF!</v>
      </c>
      <c r="L12" s="253"/>
      <c r="M12" s="207" t="e">
        <f t="shared" ref="M12:P12" si="58">$J$12</f>
        <v>#REF!</v>
      </c>
      <c r="N12" s="207" t="e">
        <f t="shared" si="58"/>
        <v>#REF!</v>
      </c>
      <c r="O12" s="207" t="e">
        <f t="shared" si="58"/>
        <v>#REF!</v>
      </c>
      <c r="P12" s="207" t="e">
        <f t="shared" si="58"/>
        <v>#REF!</v>
      </c>
      <c r="Q12" s="223" t="e">
        <f>$T$7</f>
        <v>#REF!</v>
      </c>
      <c r="R12" s="223" t="e">
        <f>Q30</f>
        <v>#REF!</v>
      </c>
      <c r="S12" s="223" t="e">
        <f t="shared" ref="S12:T12" si="59">$R$12</f>
        <v>#REF!</v>
      </c>
      <c r="T12" s="223" t="e">
        <f t="shared" si="59"/>
        <v>#REF!</v>
      </c>
      <c r="U12" s="223" t="e">
        <f>Q42</f>
        <v>#REF!</v>
      </c>
      <c r="V12" s="223" t="e">
        <f t="shared" ref="V12:X12" si="60">$U$12</f>
        <v>#REF!</v>
      </c>
      <c r="W12" s="220" t="e">
        <f t="shared" si="60"/>
        <v>#REF!</v>
      </c>
      <c r="X12" s="219" t="e">
        <f t="shared" si="60"/>
        <v>#REF!</v>
      </c>
      <c r="Y12" s="219" t="e">
        <f>Q52</f>
        <v>#REF!</v>
      </c>
      <c r="Z12" s="220" t="e">
        <f>$Y$12</f>
        <v>#REF!</v>
      </c>
      <c r="AA12" s="253"/>
      <c r="AB12" s="220" t="e">
        <f t="shared" ref="AB12:AE12" si="61">$Y$12</f>
        <v>#REF!</v>
      </c>
      <c r="AC12" s="220" t="e">
        <f t="shared" si="61"/>
        <v>#REF!</v>
      </c>
      <c r="AD12" s="220" t="e">
        <f t="shared" si="61"/>
        <v>#REF!</v>
      </c>
      <c r="AE12" s="220" t="e">
        <f t="shared" si="61"/>
        <v>#REF!</v>
      </c>
      <c r="AF12" s="223" t="e">
        <f t="shared" ref="AF12:AH12" si="62">AI11</f>
        <v>#REF!</v>
      </c>
      <c r="AG12" s="223" t="e">
        <f t="shared" si="62"/>
        <v>#REF!</v>
      </c>
      <c r="AH12" s="223" t="e">
        <f t="shared" si="62"/>
        <v>#REF!</v>
      </c>
      <c r="AI12" s="223" t="e">
        <f>Q39</f>
        <v>#REF!</v>
      </c>
      <c r="AJ12" s="223" t="e">
        <f>$AI$12</f>
        <v>#REF!</v>
      </c>
      <c r="AK12" s="227"/>
      <c r="AL12" s="225"/>
      <c r="AM12" s="232" t="e">
        <f t="shared" ref="AM12:AO12" si="63">$AF$11</f>
        <v>#REF!</v>
      </c>
      <c r="AN12" s="232" t="e">
        <f t="shared" si="63"/>
        <v>#REF!</v>
      </c>
      <c r="AO12" s="231" t="e">
        <f t="shared" si="63"/>
        <v>#REF!</v>
      </c>
      <c r="AP12" s="253"/>
      <c r="AQ12" s="225"/>
      <c r="AR12" s="225"/>
      <c r="AS12" s="225"/>
      <c r="AT12" s="225"/>
    </row>
    <row r="13" spans="1:46" x14ac:dyDescent="0.25">
      <c r="A13" s="192" t="s">
        <v>80</v>
      </c>
      <c r="B13" s="210" t="e">
        <f t="shared" ref="B13:D13" si="64">$E$9</f>
        <v>#REF!</v>
      </c>
      <c r="C13" s="210" t="e">
        <f t="shared" si="64"/>
        <v>#REF!</v>
      </c>
      <c r="D13" s="210" t="e">
        <f t="shared" si="64"/>
        <v>#REF!</v>
      </c>
      <c r="E13" s="207" t="e">
        <f>$F$13</f>
        <v>#REF!</v>
      </c>
      <c r="F13" s="207" t="e">
        <f>Q30</f>
        <v>#REF!</v>
      </c>
      <c r="G13" s="207" t="e">
        <f>$F$13</f>
        <v>#REF!</v>
      </c>
      <c r="H13" s="206" t="e">
        <f>Q45</f>
        <v>#REF!</v>
      </c>
      <c r="I13" s="206" t="e">
        <f t="shared" ref="I13:K13" si="65">$H$13</f>
        <v>#REF!</v>
      </c>
      <c r="J13" s="206" t="e">
        <f t="shared" si="65"/>
        <v>#REF!</v>
      </c>
      <c r="K13" s="207" t="e">
        <f t="shared" si="65"/>
        <v>#REF!</v>
      </c>
      <c r="L13" s="250"/>
      <c r="M13" s="206" t="e">
        <f>Q44</f>
        <v>#REF!</v>
      </c>
      <c r="N13" s="206" t="e">
        <f>$M$13</f>
        <v>#REF!</v>
      </c>
      <c r="O13" s="206" t="e">
        <f t="shared" ref="O13:P13" si="66">$B$6</f>
        <v>#REF!</v>
      </c>
      <c r="P13" s="206" t="e">
        <f t="shared" si="66"/>
        <v>#REF!</v>
      </c>
      <c r="Q13" s="226"/>
      <c r="R13" s="226"/>
      <c r="S13" s="223" t="e">
        <f t="shared" ref="S13:T13" si="67">$Q$11</f>
        <v>#REF!</v>
      </c>
      <c r="T13" s="223" t="e">
        <f t="shared" si="67"/>
        <v>#REF!</v>
      </c>
      <c r="U13" s="223" t="e">
        <f>Q36</f>
        <v>#REF!</v>
      </c>
      <c r="V13" s="223" t="e">
        <f t="shared" ref="V13:W13" si="68">$U$13</f>
        <v>#REF!</v>
      </c>
      <c r="W13" s="219" t="e">
        <f t="shared" si="68"/>
        <v>#REF!</v>
      </c>
      <c r="X13" s="219" t="e">
        <f>Q50</f>
        <v>#REF!</v>
      </c>
      <c r="Y13" s="235"/>
      <c r="Z13" s="226"/>
      <c r="AA13" s="250"/>
      <c r="AB13" s="235"/>
      <c r="AC13" s="235"/>
      <c r="AD13" s="235"/>
      <c r="AE13" s="235"/>
      <c r="AF13" s="223" t="e">
        <f>Q43</f>
        <v>#REF!</v>
      </c>
      <c r="AG13" s="223" t="e">
        <f t="shared" ref="AG13:AI13" si="69">$AF$13</f>
        <v>#REF!</v>
      </c>
      <c r="AH13" s="223" t="e">
        <f t="shared" si="69"/>
        <v>#REF!</v>
      </c>
      <c r="AI13" s="223" t="e">
        <f t="shared" si="69"/>
        <v>#REF!</v>
      </c>
      <c r="AJ13" s="223" t="e">
        <f>Q37</f>
        <v>#REF!</v>
      </c>
      <c r="AK13" s="223" t="e">
        <f>$AJ$13</f>
        <v>#REF!</v>
      </c>
      <c r="AL13" s="219" t="e">
        <f t="shared" ref="AL13:AO13" si="70">$AF$9</f>
        <v>#REF!</v>
      </c>
      <c r="AM13" s="219" t="e">
        <f t="shared" si="70"/>
        <v>#REF!</v>
      </c>
      <c r="AN13" s="219" t="e">
        <f t="shared" si="70"/>
        <v>#REF!</v>
      </c>
      <c r="AO13" s="220" t="e">
        <f t="shared" si="70"/>
        <v>#REF!</v>
      </c>
      <c r="AP13" s="250"/>
      <c r="AQ13" s="222"/>
      <c r="AR13" s="222"/>
      <c r="AS13" s="222"/>
      <c r="AT13" s="222"/>
    </row>
    <row r="14" spans="1:46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6" x14ac:dyDescent="0.25">
      <c r="A15" s="193" t="s">
        <v>384</v>
      </c>
      <c r="B15" s="430" t="s">
        <v>390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431"/>
      <c r="Q15" s="430" t="s">
        <v>400</v>
      </c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3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x14ac:dyDescent="0.25">
      <c r="A16" s="194"/>
      <c r="B16" s="190">
        <v>1</v>
      </c>
      <c r="C16" s="190">
        <v>2</v>
      </c>
      <c r="D16" s="190">
        <v>3</v>
      </c>
      <c r="E16" s="190">
        <v>4</v>
      </c>
      <c r="F16" s="190">
        <v>5</v>
      </c>
      <c r="G16" s="190">
        <v>6</v>
      </c>
      <c r="H16" s="190">
        <v>7</v>
      </c>
      <c r="I16" s="190">
        <v>8</v>
      </c>
      <c r="J16" s="190">
        <v>9</v>
      </c>
      <c r="K16" s="190">
        <v>10</v>
      </c>
      <c r="L16" s="215">
        <v>9</v>
      </c>
      <c r="M16" s="190">
        <v>1</v>
      </c>
      <c r="N16" s="190">
        <v>2</v>
      </c>
      <c r="O16" s="190">
        <v>3</v>
      </c>
      <c r="P16" s="190">
        <v>4</v>
      </c>
      <c r="Q16" s="190">
        <v>1</v>
      </c>
      <c r="R16" s="190">
        <v>2</v>
      </c>
      <c r="S16" s="190">
        <v>3</v>
      </c>
      <c r="T16" s="190">
        <v>4</v>
      </c>
      <c r="U16" s="190">
        <v>5</v>
      </c>
      <c r="V16" s="190">
        <v>6</v>
      </c>
      <c r="W16" s="190">
        <v>7</v>
      </c>
      <c r="X16" s="190">
        <v>8</v>
      </c>
      <c r="Y16" s="190">
        <v>9</v>
      </c>
      <c r="Z16" s="190">
        <v>10</v>
      </c>
      <c r="AA16" s="215">
        <v>11</v>
      </c>
      <c r="AB16" s="190">
        <v>12</v>
      </c>
      <c r="AC16" s="190">
        <v>13</v>
      </c>
      <c r="AD16" s="190">
        <v>14</v>
      </c>
      <c r="AE16" s="190">
        <v>15</v>
      </c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</row>
    <row r="17" spans="1:46" ht="15" customHeight="1" x14ac:dyDescent="0.25">
      <c r="A17" s="192" t="s">
        <v>478</v>
      </c>
      <c r="B17" s="227"/>
      <c r="C17" s="227"/>
      <c r="D17" s="227"/>
      <c r="E17" s="227"/>
      <c r="F17" s="227"/>
      <c r="G17" s="227"/>
      <c r="H17" s="222"/>
      <c r="I17" s="222"/>
      <c r="J17" s="219" t="e">
        <f t="shared" ref="J17:K17" si="71">$J$7</f>
        <v>#REF!</v>
      </c>
      <c r="K17" s="219" t="e">
        <f t="shared" si="71"/>
        <v>#REF!</v>
      </c>
      <c r="L17" s="432" t="s">
        <v>479</v>
      </c>
      <c r="M17" s="219" t="e">
        <f t="shared" ref="M17:P17" si="72">$J$7</f>
        <v>#REF!</v>
      </c>
      <c r="N17" s="219" t="e">
        <f t="shared" si="72"/>
        <v>#REF!</v>
      </c>
      <c r="O17" s="219" t="e">
        <f t="shared" si="72"/>
        <v>#REF!</v>
      </c>
      <c r="P17" s="219" t="e">
        <f t="shared" si="72"/>
        <v>#REF!</v>
      </c>
      <c r="Q17" s="236"/>
      <c r="R17" s="236"/>
      <c r="S17" s="236"/>
      <c r="T17" s="236"/>
      <c r="U17" s="236"/>
      <c r="V17" s="236"/>
      <c r="W17" s="222"/>
      <c r="X17" s="222"/>
      <c r="Y17" s="222"/>
      <c r="Z17" s="222"/>
      <c r="AA17" s="432" t="s">
        <v>479</v>
      </c>
      <c r="AB17" s="225"/>
      <c r="AC17" s="225"/>
      <c r="AD17" s="237"/>
      <c r="AE17" s="237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</row>
    <row r="18" spans="1:46" x14ac:dyDescent="0.25">
      <c r="A18" s="192" t="s">
        <v>480</v>
      </c>
      <c r="B18" s="227"/>
      <c r="C18" s="227"/>
      <c r="D18" s="227"/>
      <c r="E18" s="236"/>
      <c r="F18" s="236"/>
      <c r="G18" s="236"/>
      <c r="H18" s="225"/>
      <c r="I18" s="225"/>
      <c r="J18" s="191"/>
      <c r="K18" s="222"/>
      <c r="L18" s="253"/>
      <c r="M18" s="222"/>
      <c r="N18" s="222"/>
      <c r="O18" s="222"/>
      <c r="P18" s="222"/>
      <c r="Q18" s="236"/>
      <c r="R18" s="236"/>
      <c r="S18" s="236"/>
      <c r="T18" s="236"/>
      <c r="U18" s="227"/>
      <c r="V18" s="227"/>
      <c r="W18" s="225"/>
      <c r="X18" s="222"/>
      <c r="Y18" s="222"/>
      <c r="Z18" s="225"/>
      <c r="AA18" s="253"/>
      <c r="AB18" s="222"/>
      <c r="AC18" s="222"/>
      <c r="AD18" s="222"/>
      <c r="AE18" s="222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 spans="1:46" x14ac:dyDescent="0.25">
      <c r="A19" s="192" t="s">
        <v>481</v>
      </c>
      <c r="B19" s="236"/>
      <c r="C19" s="236"/>
      <c r="D19" s="227"/>
      <c r="E19" s="227"/>
      <c r="F19" s="227"/>
      <c r="G19" s="227"/>
      <c r="H19" s="225"/>
      <c r="I19" s="225"/>
      <c r="J19" s="191"/>
      <c r="K19" s="225"/>
      <c r="L19" s="253"/>
      <c r="M19" s="222"/>
      <c r="N19" s="222"/>
      <c r="O19" s="222"/>
      <c r="P19" s="222"/>
      <c r="Q19" s="227"/>
      <c r="R19" s="227"/>
      <c r="S19" s="227"/>
      <c r="T19" s="227"/>
      <c r="U19" s="227"/>
      <c r="V19" s="227"/>
      <c r="W19" s="222"/>
      <c r="X19" s="222"/>
      <c r="Y19" s="222"/>
      <c r="Z19" s="225"/>
      <c r="AA19" s="253"/>
      <c r="AB19" s="222"/>
      <c r="AC19" s="222"/>
      <c r="AD19" s="222"/>
      <c r="AE19" s="222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 spans="1:46" x14ac:dyDescent="0.25">
      <c r="A20" s="192" t="s">
        <v>78</v>
      </c>
      <c r="B20" s="227"/>
      <c r="C20" s="227"/>
      <c r="D20" s="227"/>
      <c r="E20" s="227"/>
      <c r="F20" s="227"/>
      <c r="G20" s="227"/>
      <c r="H20" s="225"/>
      <c r="I20" s="225"/>
      <c r="J20" s="191"/>
      <c r="K20" s="225"/>
      <c r="L20" s="253"/>
      <c r="M20" s="222"/>
      <c r="N20" s="222"/>
      <c r="O20" s="222"/>
      <c r="P20" s="222"/>
      <c r="Q20" s="227"/>
      <c r="R20" s="227"/>
      <c r="S20" s="227"/>
      <c r="T20" s="227"/>
      <c r="U20" s="227"/>
      <c r="V20" s="227"/>
      <c r="W20" s="225"/>
      <c r="X20" s="222"/>
      <c r="Y20" s="222"/>
      <c r="Z20" s="222"/>
      <c r="AA20" s="253"/>
      <c r="AB20" s="225"/>
      <c r="AC20" s="225"/>
      <c r="AD20" s="225"/>
      <c r="AE20" s="222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 spans="1:46" ht="15.75" customHeight="1" x14ac:dyDescent="0.25">
      <c r="A21" s="192" t="s">
        <v>79</v>
      </c>
      <c r="B21" s="227"/>
      <c r="C21" s="227"/>
      <c r="D21" s="227"/>
      <c r="E21" s="227"/>
      <c r="F21" s="227"/>
      <c r="G21" s="227"/>
      <c r="H21" s="225"/>
      <c r="I21" s="225"/>
      <c r="J21" s="191"/>
      <c r="K21" s="225"/>
      <c r="L21" s="253"/>
      <c r="M21" s="222"/>
      <c r="N21" s="222"/>
      <c r="O21" s="222"/>
      <c r="P21" s="222"/>
      <c r="Q21" s="227"/>
      <c r="R21" s="227"/>
      <c r="S21" s="227"/>
      <c r="T21" s="236"/>
      <c r="U21" s="236"/>
      <c r="V21" s="236"/>
      <c r="W21" s="222"/>
      <c r="X21" s="222"/>
      <c r="Y21" s="222"/>
      <c r="Z21" s="225"/>
      <c r="AA21" s="253"/>
      <c r="AB21" s="225"/>
      <c r="AC21" s="225"/>
      <c r="AD21" s="225"/>
      <c r="AE21" s="222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 spans="1:46" ht="15" customHeight="1" x14ac:dyDescent="0.25">
      <c r="A22" s="192" t="s">
        <v>482</v>
      </c>
      <c r="B22" s="227"/>
      <c r="C22" s="227"/>
      <c r="D22" s="236"/>
      <c r="E22" s="236"/>
      <c r="F22" s="236"/>
      <c r="G22" s="236"/>
      <c r="H22" s="225"/>
      <c r="I22" s="225"/>
      <c r="J22" s="191"/>
      <c r="K22" s="222"/>
      <c r="L22" s="253"/>
      <c r="M22" s="222"/>
      <c r="N22" s="222"/>
      <c r="O22" s="222"/>
      <c r="P22" s="222"/>
      <c r="Q22" s="227"/>
      <c r="R22" s="227"/>
      <c r="S22" s="227"/>
      <c r="T22" s="227"/>
      <c r="U22" s="227"/>
      <c r="V22" s="227"/>
      <c r="W22" s="225"/>
      <c r="X22" s="222"/>
      <c r="Y22" s="222"/>
      <c r="Z22" s="225"/>
      <c r="AA22" s="253"/>
      <c r="AB22" s="222"/>
      <c r="AC22" s="222"/>
      <c r="AD22" s="225"/>
      <c r="AE22" s="222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 spans="1:46" ht="15.75" customHeight="1" x14ac:dyDescent="0.25">
      <c r="A23" s="192" t="s">
        <v>483</v>
      </c>
      <c r="B23" s="227"/>
      <c r="C23" s="227"/>
      <c r="D23" s="227"/>
      <c r="E23" s="227"/>
      <c r="F23" s="227"/>
      <c r="G23" s="227"/>
      <c r="H23" s="225"/>
      <c r="I23" s="225"/>
      <c r="J23" s="191"/>
      <c r="K23" s="225"/>
      <c r="L23" s="253"/>
      <c r="M23" s="222"/>
      <c r="N23" s="222"/>
      <c r="O23" s="222"/>
      <c r="P23" s="222"/>
      <c r="Q23" s="227"/>
      <c r="R23" s="227"/>
      <c r="S23" s="227"/>
      <c r="T23" s="227"/>
      <c r="U23" s="227"/>
      <c r="V23" s="227"/>
      <c r="W23" s="225"/>
      <c r="X23" s="222"/>
      <c r="Y23" s="222"/>
      <c r="Z23" s="225"/>
      <c r="AA23" s="253"/>
      <c r="AB23" s="225"/>
      <c r="AC23" s="225"/>
      <c r="AD23" s="225"/>
      <c r="AE23" s="222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 spans="1:46" ht="15.75" customHeight="1" x14ac:dyDescent="0.25">
      <c r="A24" s="192" t="s">
        <v>80</v>
      </c>
      <c r="B24" s="227"/>
      <c r="C24" s="227"/>
      <c r="D24" s="227"/>
      <c r="E24" s="227"/>
      <c r="F24" s="227"/>
      <c r="G24" s="227"/>
      <c r="H24" s="225"/>
      <c r="I24" s="225"/>
      <c r="J24" s="191"/>
      <c r="K24" s="225"/>
      <c r="L24" s="250"/>
      <c r="M24" s="222"/>
      <c r="N24" s="222"/>
      <c r="O24" s="222"/>
      <c r="P24" s="222"/>
      <c r="Q24" s="227"/>
      <c r="R24" s="227"/>
      <c r="S24" s="227"/>
      <c r="T24" s="227"/>
      <c r="U24" s="227"/>
      <c r="V24" s="227"/>
      <c r="W24" s="222"/>
      <c r="X24" s="222"/>
      <c r="Y24" s="222"/>
      <c r="Z24" s="225"/>
      <c r="AA24" s="250"/>
      <c r="AB24" s="222"/>
      <c r="AC24" s="222"/>
      <c r="AD24" s="222"/>
      <c r="AE24" s="222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</row>
    <row r="25" spans="1:4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 spans="1:46" ht="15.75" customHeight="1" x14ac:dyDescent="0.25">
      <c r="A26" s="433" t="s">
        <v>484</v>
      </c>
      <c r="B26" s="242"/>
      <c r="C26" s="242"/>
      <c r="D26" s="243"/>
      <c r="E26" s="14"/>
      <c r="F26" s="39" t="s">
        <v>270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40" t="s">
        <v>271</v>
      </c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 spans="1:46" ht="17.25" customHeight="1" x14ac:dyDescent="0.25">
      <c r="A27" s="196">
        <v>1</v>
      </c>
      <c r="B27" s="196"/>
      <c r="C27" s="196" t="s">
        <v>485</v>
      </c>
      <c r="D27" s="196"/>
      <c r="E27" s="14"/>
      <c r="F27" s="195" t="s">
        <v>274</v>
      </c>
      <c r="G27" s="434" t="s">
        <v>275</v>
      </c>
      <c r="H27" s="361"/>
      <c r="I27" s="436" t="s">
        <v>276</v>
      </c>
      <c r="J27" s="365"/>
      <c r="K27" s="365"/>
      <c r="L27" s="365"/>
      <c r="M27" s="365"/>
      <c r="N27" s="365"/>
      <c r="O27" s="365"/>
      <c r="P27" s="361"/>
      <c r="Q27" s="435" t="s">
        <v>277</v>
      </c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79"/>
      <c r="AC27" s="380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 spans="1:46" ht="15" customHeight="1" x14ac:dyDescent="0.25">
      <c r="A28" s="196">
        <v>2</v>
      </c>
      <c r="B28" s="196"/>
      <c r="C28" s="196" t="s">
        <v>486</v>
      </c>
      <c r="D28" s="196"/>
      <c r="E28" s="14"/>
      <c r="F28" s="197"/>
      <c r="G28" s="362"/>
      <c r="H28" s="276"/>
      <c r="I28" s="362"/>
      <c r="J28" s="275"/>
      <c r="K28" s="275"/>
      <c r="L28" s="275"/>
      <c r="M28" s="275"/>
      <c r="N28" s="275"/>
      <c r="O28" s="275"/>
      <c r="P28" s="276"/>
      <c r="Q28" s="437" t="s">
        <v>286</v>
      </c>
      <c r="R28" s="272"/>
      <c r="S28" s="273"/>
      <c r="T28" s="438" t="s">
        <v>287</v>
      </c>
      <c r="U28" s="272"/>
      <c r="V28" s="272"/>
      <c r="W28" s="272"/>
      <c r="X28" s="272"/>
      <c r="Y28" s="272"/>
      <c r="Z28" s="272"/>
      <c r="AA28" s="272"/>
      <c r="AB28" s="272"/>
      <c r="AC28" s="371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 spans="1:46" ht="15" customHeight="1" x14ac:dyDescent="0.25">
      <c r="A29" s="196">
        <v>3</v>
      </c>
      <c r="B29" s="196"/>
      <c r="C29" s="196" t="s">
        <v>487</v>
      </c>
      <c r="D29" s="196"/>
      <c r="E29" s="14"/>
      <c r="F29" s="211"/>
      <c r="G29" s="420"/>
      <c r="H29" s="302"/>
      <c r="I29" s="420"/>
      <c r="J29" s="301"/>
      <c r="K29" s="301"/>
      <c r="L29" s="301"/>
      <c r="M29" s="301"/>
      <c r="N29" s="301"/>
      <c r="O29" s="301"/>
      <c r="P29" s="302"/>
      <c r="Q29" s="363"/>
      <c r="R29" s="366"/>
      <c r="S29" s="364"/>
      <c r="T29" s="363"/>
      <c r="U29" s="366"/>
      <c r="V29" s="366"/>
      <c r="W29" s="366"/>
      <c r="X29" s="366"/>
      <c r="Y29" s="366"/>
      <c r="Z29" s="366"/>
      <c r="AA29" s="366"/>
      <c r="AB29" s="366"/>
      <c r="AC29" s="372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 spans="1:46" ht="15" customHeight="1" x14ac:dyDescent="0.25">
      <c r="A30" s="196">
        <v>4</v>
      </c>
      <c r="B30" s="196"/>
      <c r="C30" s="196" t="s">
        <v>488</v>
      </c>
      <c r="D30" s="196"/>
      <c r="E30" s="14"/>
      <c r="F30" s="212">
        <v>1</v>
      </c>
      <c r="G30" s="422" t="e">
        <f>#REF!</f>
        <v>#REF!</v>
      </c>
      <c r="H30" s="243"/>
      <c r="I30" s="203" t="e">
        <f>#REF!</f>
        <v>#REF!</v>
      </c>
      <c r="J30" s="204"/>
      <c r="K30" s="204"/>
      <c r="L30" s="204"/>
      <c r="M30" s="204"/>
      <c r="N30" s="204"/>
      <c r="O30" s="204"/>
      <c r="P30" s="213"/>
      <c r="Q30" s="428" t="e">
        <f>#REF!</f>
        <v>#REF!</v>
      </c>
      <c r="R30" s="349"/>
      <c r="S30" s="309"/>
      <c r="T30" s="423" t="e">
        <f>#REF!</f>
        <v>#REF!</v>
      </c>
      <c r="U30" s="424"/>
      <c r="V30" s="424"/>
      <c r="W30" s="424"/>
      <c r="X30" s="424"/>
      <c r="Y30" s="424"/>
      <c r="Z30" s="424"/>
      <c r="AA30" s="424"/>
      <c r="AB30" s="424"/>
      <c r="AC30" s="425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 spans="1:46" ht="15.75" customHeight="1" x14ac:dyDescent="0.25">
      <c r="A31" s="196">
        <v>5</v>
      </c>
      <c r="B31" s="196"/>
      <c r="C31" s="196" t="s">
        <v>489</v>
      </c>
      <c r="D31" s="196"/>
      <c r="E31" s="14"/>
      <c r="F31" s="198">
        <v>2</v>
      </c>
      <c r="G31" s="422" t="e">
        <f>#REF!</f>
        <v>#REF!</v>
      </c>
      <c r="H31" s="243"/>
      <c r="I31" s="199" t="e">
        <f>#REF!</f>
        <v>#REF!</v>
      </c>
      <c r="J31" s="200"/>
      <c r="K31" s="200"/>
      <c r="L31" s="200"/>
      <c r="M31" s="200"/>
      <c r="N31" s="200"/>
      <c r="O31" s="200"/>
      <c r="P31" s="214"/>
      <c r="Q31" s="416" t="e">
        <f>#REF!</f>
        <v>#REF!</v>
      </c>
      <c r="R31" s="242"/>
      <c r="S31" s="243"/>
      <c r="T31" s="416" t="e">
        <f>#REF!</f>
        <v>#REF!</v>
      </c>
      <c r="U31" s="242"/>
      <c r="V31" s="242"/>
      <c r="W31" s="242"/>
      <c r="X31" s="242"/>
      <c r="Y31" s="242"/>
      <c r="Z31" s="242"/>
      <c r="AA31" s="242"/>
      <c r="AB31" s="242"/>
      <c r="AC31" s="385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 spans="1:46" ht="15.75" customHeight="1" x14ac:dyDescent="0.25">
      <c r="A32" s="196">
        <v>6</v>
      </c>
      <c r="B32" s="196"/>
      <c r="C32" s="196" t="s">
        <v>490</v>
      </c>
      <c r="D32" s="196"/>
      <c r="E32" s="14"/>
      <c r="F32" s="198">
        <v>3</v>
      </c>
      <c r="G32" s="422" t="e">
        <f>#REF!</f>
        <v>#REF!</v>
      </c>
      <c r="H32" s="243"/>
      <c r="I32" s="203" t="e">
        <f>#REF!</f>
        <v>#REF!</v>
      </c>
      <c r="J32" s="204"/>
      <c r="K32" s="204"/>
      <c r="L32" s="204"/>
      <c r="M32" s="204"/>
      <c r="N32" s="204"/>
      <c r="O32" s="204"/>
      <c r="P32" s="213"/>
      <c r="Q32" s="416" t="e">
        <f>#REF!</f>
        <v>#REF!</v>
      </c>
      <c r="R32" s="242"/>
      <c r="S32" s="243"/>
      <c r="T32" s="426" t="e">
        <f>#REF!</f>
        <v>#REF!</v>
      </c>
      <c r="U32" s="388"/>
      <c r="V32" s="388"/>
      <c r="W32" s="388"/>
      <c r="X32" s="388"/>
      <c r="Y32" s="388"/>
      <c r="Z32" s="388"/>
      <c r="AA32" s="388"/>
      <c r="AB32" s="388"/>
      <c r="AC32" s="427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 spans="1:46" ht="15.75" customHeight="1" x14ac:dyDescent="0.25">
      <c r="A33" s="196">
        <v>7</v>
      </c>
      <c r="B33" s="196"/>
      <c r="C33" s="196" t="s">
        <v>491</v>
      </c>
      <c r="D33" s="196"/>
      <c r="E33" s="14"/>
      <c r="F33" s="198">
        <v>4</v>
      </c>
      <c r="G33" s="422" t="e">
        <f>#REF!</f>
        <v>#REF!</v>
      </c>
      <c r="H33" s="243"/>
      <c r="I33" s="203" t="e">
        <f>#REF!</f>
        <v>#REF!</v>
      </c>
      <c r="J33" s="204"/>
      <c r="K33" s="204"/>
      <c r="L33" s="204"/>
      <c r="M33" s="204"/>
      <c r="N33" s="204"/>
      <c r="O33" s="204"/>
      <c r="P33" s="213"/>
      <c r="Q33" s="416" t="e">
        <f>#REF!</f>
        <v>#REF!</v>
      </c>
      <c r="R33" s="242"/>
      <c r="S33" s="243"/>
      <c r="T33" s="416" t="e">
        <f>#REF!</f>
        <v>#REF!</v>
      </c>
      <c r="U33" s="242"/>
      <c r="V33" s="242"/>
      <c r="W33" s="242"/>
      <c r="X33" s="242"/>
      <c r="Y33" s="242"/>
      <c r="Z33" s="242"/>
      <c r="AA33" s="242"/>
      <c r="AB33" s="242"/>
      <c r="AC33" s="385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 spans="1:46" ht="15.75" customHeight="1" x14ac:dyDescent="0.25">
      <c r="A34" s="196">
        <v>8</v>
      </c>
      <c r="B34" s="196"/>
      <c r="C34" s="196" t="s">
        <v>492</v>
      </c>
      <c r="D34" s="196"/>
      <c r="E34" s="14"/>
      <c r="F34" s="198">
        <v>5</v>
      </c>
      <c r="G34" s="422" t="e">
        <f>#REF!</f>
        <v>#REF!</v>
      </c>
      <c r="H34" s="243"/>
      <c r="I34" s="203" t="e">
        <f>#REF!</f>
        <v>#REF!</v>
      </c>
      <c r="J34" s="204"/>
      <c r="K34" s="204"/>
      <c r="L34" s="204"/>
      <c r="M34" s="204"/>
      <c r="N34" s="204"/>
      <c r="O34" s="204"/>
      <c r="P34" s="213"/>
      <c r="Q34" s="416" t="e">
        <f>#REF!</f>
        <v>#REF!</v>
      </c>
      <c r="R34" s="242"/>
      <c r="S34" s="243"/>
      <c r="T34" s="416" t="e">
        <f>#REF!</f>
        <v>#REF!</v>
      </c>
      <c r="U34" s="242"/>
      <c r="V34" s="242"/>
      <c r="W34" s="242"/>
      <c r="X34" s="242"/>
      <c r="Y34" s="242"/>
      <c r="Z34" s="242"/>
      <c r="AA34" s="242"/>
      <c r="AB34" s="242"/>
      <c r="AC34" s="385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 spans="1:46" ht="15.75" customHeight="1" x14ac:dyDescent="0.25">
      <c r="A35" s="209">
        <v>9</v>
      </c>
      <c r="B35" s="209"/>
      <c r="C35" s="209" t="s">
        <v>497</v>
      </c>
      <c r="D35" s="209"/>
      <c r="E35" s="14"/>
      <c r="F35" s="198">
        <v>6</v>
      </c>
      <c r="G35" s="422" t="e">
        <f>#REF!</f>
        <v>#REF!</v>
      </c>
      <c r="H35" s="243"/>
      <c r="I35" s="203" t="e">
        <f>#REF!</f>
        <v>#REF!</v>
      </c>
      <c r="J35" s="204"/>
      <c r="K35" s="204"/>
      <c r="L35" s="204"/>
      <c r="M35" s="204"/>
      <c r="N35" s="204"/>
      <c r="O35" s="204"/>
      <c r="P35" s="213"/>
      <c r="Q35" s="416" t="e">
        <f>#REF!</f>
        <v>#REF!</v>
      </c>
      <c r="R35" s="242"/>
      <c r="S35" s="243"/>
      <c r="T35" s="416" t="e">
        <f>#REF!</f>
        <v>#REF!</v>
      </c>
      <c r="U35" s="242"/>
      <c r="V35" s="242"/>
      <c r="W35" s="242"/>
      <c r="X35" s="242"/>
      <c r="Y35" s="242"/>
      <c r="Z35" s="242"/>
      <c r="AA35" s="242"/>
      <c r="AB35" s="242"/>
      <c r="AC35" s="385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 spans="1:46" ht="15.75" customHeight="1" x14ac:dyDescent="0.25">
      <c r="A36" s="196">
        <v>10</v>
      </c>
      <c r="B36" s="196"/>
      <c r="C36" s="196" t="s">
        <v>498</v>
      </c>
      <c r="D36" s="196"/>
      <c r="E36" s="14"/>
      <c r="F36" s="198">
        <v>7</v>
      </c>
      <c r="G36" s="422" t="e">
        <f>#REF!</f>
        <v>#REF!</v>
      </c>
      <c r="H36" s="243"/>
      <c r="I36" s="203" t="e">
        <f>#REF!</f>
        <v>#REF!</v>
      </c>
      <c r="J36" s="204"/>
      <c r="K36" s="204"/>
      <c r="L36" s="204"/>
      <c r="M36" s="204"/>
      <c r="N36" s="204"/>
      <c r="O36" s="204"/>
      <c r="P36" s="213"/>
      <c r="Q36" s="416" t="e">
        <f>#REF!</f>
        <v>#REF!</v>
      </c>
      <c r="R36" s="242"/>
      <c r="S36" s="243"/>
      <c r="T36" s="416" t="e">
        <f>#REF!</f>
        <v>#REF!</v>
      </c>
      <c r="U36" s="242"/>
      <c r="V36" s="242"/>
      <c r="W36" s="242"/>
      <c r="X36" s="242"/>
      <c r="Y36" s="242"/>
      <c r="Z36" s="242"/>
      <c r="AA36" s="242"/>
      <c r="AB36" s="242"/>
      <c r="AC36" s="385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</row>
    <row r="37" spans="1:46" ht="16.5" customHeight="1" x14ac:dyDescent="0.25">
      <c r="A37" s="202">
        <v>11</v>
      </c>
      <c r="B37" s="202"/>
      <c r="C37" s="202" t="s">
        <v>499</v>
      </c>
      <c r="D37" s="202"/>
      <c r="E37" s="14"/>
      <c r="F37" s="198">
        <v>8</v>
      </c>
      <c r="G37" s="422" t="e">
        <f>#REF!</f>
        <v>#REF!</v>
      </c>
      <c r="H37" s="243"/>
      <c r="I37" s="203" t="e">
        <f>#REF!</f>
        <v>#REF!</v>
      </c>
      <c r="J37" s="204"/>
      <c r="K37" s="204"/>
      <c r="L37" s="204"/>
      <c r="M37" s="204"/>
      <c r="N37" s="204"/>
      <c r="O37" s="204"/>
      <c r="P37" s="213"/>
      <c r="Q37" s="416" t="e">
        <f>#REF!</f>
        <v>#REF!</v>
      </c>
      <c r="R37" s="242"/>
      <c r="S37" s="243"/>
      <c r="T37" s="416" t="e">
        <f>#REF!</f>
        <v>#REF!</v>
      </c>
      <c r="U37" s="242"/>
      <c r="V37" s="242"/>
      <c r="W37" s="242"/>
      <c r="X37" s="242"/>
      <c r="Y37" s="242"/>
      <c r="Z37" s="242"/>
      <c r="AA37" s="242"/>
      <c r="AB37" s="242"/>
      <c r="AC37" s="385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</row>
    <row r="38" spans="1:46" ht="16.5" customHeight="1" x14ac:dyDescent="0.25">
      <c r="A38" s="196">
        <v>12</v>
      </c>
      <c r="B38" s="196"/>
      <c r="C38" s="196" t="s">
        <v>493</v>
      </c>
      <c r="D38" s="196"/>
      <c r="E38" s="14"/>
      <c r="F38" s="417">
        <v>9</v>
      </c>
      <c r="G38" s="419" t="e">
        <f>#REF!</f>
        <v>#REF!</v>
      </c>
      <c r="H38" s="273"/>
      <c r="I38" s="421" t="e">
        <f>#REF!</f>
        <v>#REF!</v>
      </c>
      <c r="J38" s="272"/>
      <c r="K38" s="272"/>
      <c r="L38" s="272"/>
      <c r="M38" s="272"/>
      <c r="N38" s="272"/>
      <c r="O38" s="272"/>
      <c r="P38" s="273"/>
      <c r="Q38" s="429" t="e">
        <f>#REF!</f>
        <v>#REF!</v>
      </c>
      <c r="R38" s="351"/>
      <c r="S38" s="352"/>
      <c r="T38" s="429" t="e">
        <f>#REF!</f>
        <v>#REF!</v>
      </c>
      <c r="U38" s="351"/>
      <c r="V38" s="351"/>
      <c r="W38" s="351"/>
      <c r="X38" s="351"/>
      <c r="Y38" s="351"/>
      <c r="Z38" s="351"/>
      <c r="AA38" s="351"/>
      <c r="AB38" s="351"/>
      <c r="AC38" s="368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</row>
    <row r="39" spans="1:46" ht="16.5" customHeight="1" x14ac:dyDescent="0.25">
      <c r="A39" s="196">
        <v>13</v>
      </c>
      <c r="B39" s="196"/>
      <c r="C39" s="196" t="s">
        <v>494</v>
      </c>
      <c r="D39" s="196"/>
      <c r="E39" s="14"/>
      <c r="F39" s="324"/>
      <c r="G39" s="420"/>
      <c r="H39" s="302"/>
      <c r="I39" s="420"/>
      <c r="J39" s="301"/>
      <c r="K39" s="301"/>
      <c r="L39" s="301"/>
      <c r="M39" s="301"/>
      <c r="N39" s="301"/>
      <c r="O39" s="301"/>
      <c r="P39" s="302"/>
      <c r="Q39" s="416" t="e">
        <f>#REF!</f>
        <v>#REF!</v>
      </c>
      <c r="R39" s="242"/>
      <c r="S39" s="243"/>
      <c r="T39" s="416" t="e">
        <f>#REF!</f>
        <v>#REF!</v>
      </c>
      <c r="U39" s="242"/>
      <c r="V39" s="242"/>
      <c r="W39" s="242"/>
      <c r="X39" s="242"/>
      <c r="Y39" s="242"/>
      <c r="Z39" s="242"/>
      <c r="AA39" s="242"/>
      <c r="AB39" s="242"/>
      <c r="AC39" s="385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</row>
    <row r="40" spans="1:46" ht="15.75" customHeight="1" x14ac:dyDescent="0.25">
      <c r="A40" s="209">
        <v>14</v>
      </c>
      <c r="B40" s="209"/>
      <c r="C40" s="209" t="s">
        <v>495</v>
      </c>
      <c r="D40" s="209"/>
      <c r="E40" s="14"/>
      <c r="F40" s="198">
        <v>10</v>
      </c>
      <c r="G40" s="422" t="e">
        <f>#REF!</f>
        <v>#REF!</v>
      </c>
      <c r="H40" s="243"/>
      <c r="I40" s="203" t="e">
        <f>#REF!</f>
        <v>#REF!</v>
      </c>
      <c r="J40" s="204"/>
      <c r="K40" s="204"/>
      <c r="L40" s="204"/>
      <c r="M40" s="204"/>
      <c r="N40" s="204"/>
      <c r="O40" s="204"/>
      <c r="P40" s="213"/>
      <c r="Q40" s="416" t="e">
        <f>#REF!</f>
        <v>#REF!</v>
      </c>
      <c r="R40" s="242"/>
      <c r="S40" s="243"/>
      <c r="T40" s="416" t="e">
        <f>#REF!</f>
        <v>#REF!</v>
      </c>
      <c r="U40" s="242"/>
      <c r="V40" s="242"/>
      <c r="W40" s="242"/>
      <c r="X40" s="242"/>
      <c r="Y40" s="242"/>
      <c r="Z40" s="242"/>
      <c r="AA40" s="242"/>
      <c r="AB40" s="242"/>
      <c r="AC40" s="385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spans="1:46" ht="15.75" customHeight="1" x14ac:dyDescent="0.25">
      <c r="A41" s="209">
        <v>15</v>
      </c>
      <c r="B41" s="209"/>
      <c r="C41" s="209" t="s">
        <v>500</v>
      </c>
      <c r="D41" s="209"/>
      <c r="E41" s="14"/>
      <c r="F41" s="418">
        <v>11</v>
      </c>
      <c r="G41" s="419" t="e">
        <f>#REF!</f>
        <v>#REF!</v>
      </c>
      <c r="H41" s="273"/>
      <c r="I41" s="421" t="e">
        <f>#REF!</f>
        <v>#REF!</v>
      </c>
      <c r="J41" s="272"/>
      <c r="K41" s="272"/>
      <c r="L41" s="272"/>
      <c r="M41" s="272"/>
      <c r="N41" s="272"/>
      <c r="O41" s="272"/>
      <c r="P41" s="273"/>
      <c r="Q41" s="416" t="e">
        <f>#REF!</f>
        <v>#REF!</v>
      </c>
      <c r="R41" s="242"/>
      <c r="S41" s="243"/>
      <c r="T41" s="416" t="e">
        <f>#REF!</f>
        <v>#REF!</v>
      </c>
      <c r="U41" s="242"/>
      <c r="V41" s="242"/>
      <c r="W41" s="242"/>
      <c r="X41" s="242"/>
      <c r="Y41" s="242"/>
      <c r="Z41" s="242"/>
      <c r="AA41" s="242"/>
      <c r="AB41" s="242"/>
      <c r="AC41" s="385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ht="15.75" customHeight="1" x14ac:dyDescent="0.25">
      <c r="A42" s="14"/>
      <c r="B42" s="14"/>
      <c r="C42" s="14"/>
      <c r="D42" s="14"/>
      <c r="E42" s="14"/>
      <c r="F42" s="324"/>
      <c r="G42" s="420"/>
      <c r="H42" s="302"/>
      <c r="I42" s="420"/>
      <c r="J42" s="301"/>
      <c r="K42" s="301"/>
      <c r="L42" s="301"/>
      <c r="M42" s="301"/>
      <c r="N42" s="301"/>
      <c r="O42" s="301"/>
      <c r="P42" s="302"/>
      <c r="Q42" s="416" t="e">
        <f>#REF!</f>
        <v>#REF!</v>
      </c>
      <c r="R42" s="242"/>
      <c r="S42" s="243"/>
      <c r="T42" s="203" t="e">
        <f>#REF!</f>
        <v>#REF!</v>
      </c>
      <c r="U42" s="204"/>
      <c r="V42" s="204"/>
      <c r="W42" s="204"/>
      <c r="X42" s="204"/>
      <c r="Y42" s="204"/>
      <c r="Z42" s="204"/>
      <c r="AA42" s="204"/>
      <c r="AB42" s="204"/>
      <c r="AC42" s="205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ht="15.75" customHeight="1" x14ac:dyDescent="0.25">
      <c r="A43" s="14"/>
      <c r="B43" s="14"/>
      <c r="C43" s="14"/>
      <c r="D43" s="14"/>
      <c r="E43" s="14"/>
      <c r="F43" s="198">
        <v>12</v>
      </c>
      <c r="G43" s="422" t="e">
        <f>#REF!</f>
        <v>#REF!</v>
      </c>
      <c r="H43" s="243"/>
      <c r="I43" s="203" t="e">
        <f>#REF!</f>
        <v>#REF!</v>
      </c>
      <c r="J43" s="204"/>
      <c r="K43" s="204"/>
      <c r="L43" s="204"/>
      <c r="M43" s="204"/>
      <c r="N43" s="204"/>
      <c r="O43" s="204"/>
      <c r="P43" s="213"/>
      <c r="Q43" s="416" t="e">
        <f>#REF!</f>
        <v>#REF!</v>
      </c>
      <c r="R43" s="242"/>
      <c r="S43" s="243"/>
      <c r="T43" s="203" t="e">
        <f>#REF!</f>
        <v>#REF!</v>
      </c>
      <c r="U43" s="204"/>
      <c r="V43" s="204"/>
      <c r="W43" s="204"/>
      <c r="X43" s="204"/>
      <c r="Y43" s="204"/>
      <c r="Z43" s="204"/>
      <c r="AA43" s="204"/>
      <c r="AB43" s="204"/>
      <c r="AC43" s="205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ht="15.75" customHeight="1" x14ac:dyDescent="0.25">
      <c r="A44" s="14"/>
      <c r="B44" s="14"/>
      <c r="C44" s="14"/>
      <c r="D44" s="14"/>
      <c r="E44" s="14"/>
      <c r="F44" s="198">
        <v>13</v>
      </c>
      <c r="G44" s="422" t="e">
        <f>#REF!</f>
        <v>#REF!</v>
      </c>
      <c r="H44" s="243"/>
      <c r="I44" s="203" t="e">
        <f>#REF!</f>
        <v>#REF!</v>
      </c>
      <c r="J44" s="204"/>
      <c r="K44" s="204"/>
      <c r="L44" s="204"/>
      <c r="M44" s="204"/>
      <c r="N44" s="204"/>
      <c r="O44" s="204"/>
      <c r="P44" s="213"/>
      <c r="Q44" s="416" t="e">
        <f>#REF!</f>
        <v>#REF!</v>
      </c>
      <c r="R44" s="242"/>
      <c r="S44" s="243"/>
      <c r="T44" s="203" t="e">
        <f>#REF!</f>
        <v>#REF!</v>
      </c>
      <c r="U44" s="204"/>
      <c r="V44" s="204"/>
      <c r="W44" s="204"/>
      <c r="X44" s="204"/>
      <c r="Y44" s="204"/>
      <c r="Z44" s="204"/>
      <c r="AA44" s="204"/>
      <c r="AB44" s="204"/>
      <c r="AC44" s="205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6" ht="15.75" customHeight="1" x14ac:dyDescent="0.25">
      <c r="A45" s="14"/>
      <c r="B45" s="14"/>
      <c r="C45" s="14"/>
      <c r="D45" s="14"/>
      <c r="E45" s="14"/>
      <c r="F45" s="212">
        <v>14</v>
      </c>
      <c r="G45" s="422" t="e">
        <f>#REF!</f>
        <v>#REF!</v>
      </c>
      <c r="H45" s="243"/>
      <c r="I45" s="203" t="e">
        <f>#REF!</f>
        <v>#REF!</v>
      </c>
      <c r="J45" s="204"/>
      <c r="K45" s="204"/>
      <c r="L45" s="204"/>
      <c r="M45" s="204"/>
      <c r="N45" s="204"/>
      <c r="O45" s="204"/>
      <c r="P45" s="213"/>
      <c r="Q45" s="416" t="e">
        <f>#REF!</f>
        <v>#REF!</v>
      </c>
      <c r="R45" s="242"/>
      <c r="S45" s="243"/>
      <c r="T45" s="199" t="e">
        <f>#REF!</f>
        <v>#REF!</v>
      </c>
      <c r="U45" s="200"/>
      <c r="V45" s="200"/>
      <c r="W45" s="200"/>
      <c r="X45" s="200"/>
      <c r="Y45" s="200"/>
      <c r="Z45" s="200"/>
      <c r="AA45" s="200"/>
      <c r="AB45" s="200"/>
      <c r="AC45" s="201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6" ht="15.75" customHeight="1" x14ac:dyDescent="0.25">
      <c r="A46" s="14"/>
      <c r="B46" s="14"/>
      <c r="C46" s="14"/>
      <c r="D46" s="14"/>
      <c r="E46" s="14"/>
      <c r="F46" s="417">
        <v>15</v>
      </c>
      <c r="G46" s="419" t="e">
        <f>#REF!</f>
        <v>#REF!</v>
      </c>
      <c r="H46" s="273"/>
      <c r="I46" s="421" t="e">
        <f>#REF!</f>
        <v>#REF!</v>
      </c>
      <c r="J46" s="272"/>
      <c r="K46" s="272"/>
      <c r="L46" s="272"/>
      <c r="M46" s="272"/>
      <c r="N46" s="272"/>
      <c r="O46" s="272"/>
      <c r="P46" s="273"/>
      <c r="Q46" s="416" t="e">
        <f>#REF!</f>
        <v>#REF!</v>
      </c>
      <c r="R46" s="242"/>
      <c r="S46" s="243"/>
      <c r="T46" s="416" t="e">
        <f>#REF!</f>
        <v>#REF!</v>
      </c>
      <c r="U46" s="242"/>
      <c r="V46" s="242"/>
      <c r="W46" s="242"/>
      <c r="X46" s="242"/>
      <c r="Y46" s="242"/>
      <c r="Z46" s="242"/>
      <c r="AA46" s="242"/>
      <c r="AB46" s="242"/>
      <c r="AC46" s="385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6" ht="15.75" customHeight="1" x14ac:dyDescent="0.25">
      <c r="A47" s="14"/>
      <c r="B47" s="14"/>
      <c r="C47" s="14"/>
      <c r="D47" s="14"/>
      <c r="E47" s="14"/>
      <c r="F47" s="324"/>
      <c r="G47" s="420"/>
      <c r="H47" s="302"/>
      <c r="I47" s="420"/>
      <c r="J47" s="301"/>
      <c r="K47" s="301"/>
      <c r="L47" s="301"/>
      <c r="M47" s="301"/>
      <c r="N47" s="301"/>
      <c r="O47" s="301"/>
      <c r="P47" s="302"/>
      <c r="Q47" s="416" t="e">
        <f>#REF!</f>
        <v>#REF!</v>
      </c>
      <c r="R47" s="242"/>
      <c r="S47" s="243"/>
      <c r="T47" s="416" t="e">
        <f>#REF!</f>
        <v>#REF!</v>
      </c>
      <c r="U47" s="242"/>
      <c r="V47" s="242"/>
      <c r="W47" s="242"/>
      <c r="X47" s="242"/>
      <c r="Y47" s="242"/>
      <c r="Z47" s="242"/>
      <c r="AA47" s="242"/>
      <c r="AB47" s="242"/>
      <c r="AC47" s="385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</row>
    <row r="48" spans="1:46" ht="15.75" customHeight="1" x14ac:dyDescent="0.25">
      <c r="A48" s="14"/>
      <c r="B48" s="14"/>
      <c r="C48" s="14"/>
      <c r="D48" s="14"/>
      <c r="E48" s="14"/>
      <c r="F48" s="198">
        <v>16</v>
      </c>
      <c r="G48" s="422" t="e">
        <f>#REF!</f>
        <v>#REF!</v>
      </c>
      <c r="H48" s="243"/>
      <c r="I48" s="416" t="e">
        <f>#REF!</f>
        <v>#REF!</v>
      </c>
      <c r="J48" s="242"/>
      <c r="K48" s="242"/>
      <c r="L48" s="242"/>
      <c r="M48" s="242"/>
      <c r="N48" s="242"/>
      <c r="O48" s="242"/>
      <c r="P48" s="243"/>
      <c r="Q48" s="416" t="e">
        <f>#REF!</f>
        <v>#REF!</v>
      </c>
      <c r="R48" s="242"/>
      <c r="S48" s="243"/>
      <c r="T48" s="416" t="e">
        <f>#REF!</f>
        <v>#REF!</v>
      </c>
      <c r="U48" s="242"/>
      <c r="V48" s="242"/>
      <c r="W48" s="242"/>
      <c r="X48" s="242"/>
      <c r="Y48" s="242"/>
      <c r="Z48" s="242"/>
      <c r="AA48" s="242"/>
      <c r="AB48" s="242"/>
      <c r="AC48" s="385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</row>
    <row r="49" spans="1:46" ht="15.75" customHeight="1" x14ac:dyDescent="0.25">
      <c r="A49" s="14"/>
      <c r="B49" s="14"/>
      <c r="C49" s="14"/>
      <c r="D49" s="14"/>
      <c r="E49" s="14"/>
      <c r="F49" s="198">
        <v>17</v>
      </c>
      <c r="G49" s="422" t="e">
        <f>#REF!</f>
        <v>#REF!</v>
      </c>
      <c r="H49" s="243"/>
      <c r="I49" s="416" t="e">
        <f>#REF!</f>
        <v>#REF!</v>
      </c>
      <c r="J49" s="242"/>
      <c r="K49" s="242"/>
      <c r="L49" s="242"/>
      <c r="M49" s="242"/>
      <c r="N49" s="242"/>
      <c r="O49" s="242"/>
      <c r="P49" s="243"/>
      <c r="Q49" s="416" t="e">
        <f>#REF!</f>
        <v>#REF!</v>
      </c>
      <c r="R49" s="242"/>
      <c r="S49" s="243"/>
      <c r="T49" s="416" t="e">
        <f>#REF!</f>
        <v>#REF!</v>
      </c>
      <c r="U49" s="242"/>
      <c r="V49" s="242"/>
      <c r="W49" s="242"/>
      <c r="X49" s="242"/>
      <c r="Y49" s="242"/>
      <c r="Z49" s="242"/>
      <c r="AA49" s="242"/>
      <c r="AB49" s="242"/>
      <c r="AC49" s="385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</row>
    <row r="50" spans="1:46" ht="15.75" customHeight="1" x14ac:dyDescent="0.25">
      <c r="A50" s="14"/>
      <c r="B50" s="14"/>
      <c r="C50" s="14"/>
      <c r="D50" s="14"/>
      <c r="E50" s="14"/>
      <c r="F50" s="198">
        <v>18</v>
      </c>
      <c r="G50" s="422" t="e">
        <f>#REF!</f>
        <v>#REF!</v>
      </c>
      <c r="H50" s="243"/>
      <c r="I50" s="416" t="e">
        <f>#REF!</f>
        <v>#REF!</v>
      </c>
      <c r="J50" s="242"/>
      <c r="K50" s="242"/>
      <c r="L50" s="242"/>
      <c r="M50" s="242"/>
      <c r="N50" s="242"/>
      <c r="O50" s="242"/>
      <c r="P50" s="243"/>
      <c r="Q50" s="416" t="e">
        <f>#REF!</f>
        <v>#REF!</v>
      </c>
      <c r="R50" s="242"/>
      <c r="S50" s="243"/>
      <c r="T50" s="416" t="e">
        <f>#REF!</f>
        <v>#REF!</v>
      </c>
      <c r="U50" s="242"/>
      <c r="V50" s="242"/>
      <c r="W50" s="242"/>
      <c r="X50" s="242"/>
      <c r="Y50" s="242"/>
      <c r="Z50" s="242"/>
      <c r="AA50" s="242"/>
      <c r="AB50" s="242"/>
      <c r="AC50" s="385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</row>
    <row r="51" spans="1:46" ht="15.75" customHeight="1" x14ac:dyDescent="0.25">
      <c r="A51" s="14"/>
      <c r="B51" s="14"/>
      <c r="C51" s="14"/>
      <c r="D51" s="14"/>
      <c r="E51" s="14"/>
      <c r="F51" s="198">
        <v>19</v>
      </c>
      <c r="G51" s="422" t="e">
        <f>#REF!</f>
        <v>#REF!</v>
      </c>
      <c r="H51" s="243"/>
      <c r="I51" s="416" t="e">
        <f>#REF!</f>
        <v>#REF!</v>
      </c>
      <c r="J51" s="242"/>
      <c r="K51" s="242"/>
      <c r="L51" s="242"/>
      <c r="M51" s="242"/>
      <c r="N51" s="242"/>
      <c r="O51" s="242"/>
      <c r="P51" s="243"/>
      <c r="Q51" s="416" t="e">
        <f>#REF!</f>
        <v>#REF!</v>
      </c>
      <c r="R51" s="242"/>
      <c r="S51" s="243"/>
      <c r="T51" s="416" t="e">
        <f>#REF!</f>
        <v>#REF!</v>
      </c>
      <c r="U51" s="242"/>
      <c r="V51" s="242"/>
      <c r="W51" s="242"/>
      <c r="X51" s="242"/>
      <c r="Y51" s="242"/>
      <c r="Z51" s="242"/>
      <c r="AA51" s="242"/>
      <c r="AB51" s="242"/>
      <c r="AC51" s="385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</row>
    <row r="52" spans="1:46" ht="15.75" customHeight="1" x14ac:dyDescent="0.25">
      <c r="A52" s="14"/>
      <c r="B52" s="14"/>
      <c r="C52" s="14"/>
      <c r="D52" s="14"/>
      <c r="E52" s="14"/>
      <c r="F52" s="198">
        <v>20</v>
      </c>
      <c r="G52" s="422" t="e">
        <f>#REF!</f>
        <v>#REF!</v>
      </c>
      <c r="H52" s="243"/>
      <c r="I52" s="416" t="e">
        <f>#REF!</f>
        <v>#REF!</v>
      </c>
      <c r="J52" s="242"/>
      <c r="K52" s="242"/>
      <c r="L52" s="242"/>
      <c r="M52" s="242"/>
      <c r="N52" s="242"/>
      <c r="O52" s="242"/>
      <c r="P52" s="243"/>
      <c r="Q52" s="416" t="e">
        <f>#REF!</f>
        <v>#REF!</v>
      </c>
      <c r="R52" s="242"/>
      <c r="S52" s="243"/>
      <c r="T52" s="416" t="e">
        <f>#REF!</f>
        <v>#REF!</v>
      </c>
      <c r="U52" s="242"/>
      <c r="V52" s="242"/>
      <c r="W52" s="242"/>
      <c r="X52" s="242"/>
      <c r="Y52" s="242"/>
      <c r="Z52" s="242"/>
      <c r="AA52" s="242"/>
      <c r="AB52" s="242"/>
      <c r="AC52" s="385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</row>
    <row r="53" spans="1:46" ht="15.75" customHeight="1" x14ac:dyDescent="0.25">
      <c r="A53" s="14"/>
      <c r="B53" s="14"/>
      <c r="C53" s="14"/>
      <c r="D53" s="14"/>
      <c r="E53" s="14"/>
      <c r="F53" s="198">
        <v>21</v>
      </c>
      <c r="G53" s="422" t="e">
        <f>#REF!</f>
        <v>#REF!</v>
      </c>
      <c r="H53" s="243"/>
      <c r="I53" s="416" t="e">
        <f>#REF!</f>
        <v>#REF!</v>
      </c>
      <c r="J53" s="242"/>
      <c r="K53" s="242"/>
      <c r="L53" s="242"/>
      <c r="M53" s="242"/>
      <c r="N53" s="242"/>
      <c r="O53" s="242"/>
      <c r="P53" s="243"/>
      <c r="Q53" s="416" t="e">
        <f>#REF!</f>
        <v>#REF!</v>
      </c>
      <c r="R53" s="242"/>
      <c r="S53" s="243"/>
      <c r="T53" s="416" t="e">
        <f>#REF!</f>
        <v>#REF!</v>
      </c>
      <c r="U53" s="242"/>
      <c r="V53" s="242"/>
      <c r="W53" s="242"/>
      <c r="X53" s="242"/>
      <c r="Y53" s="242"/>
      <c r="Z53" s="242"/>
      <c r="AA53" s="242"/>
      <c r="AB53" s="242"/>
      <c r="AC53" s="385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</row>
    <row r="54" spans="1:46" ht="15.75" customHeight="1" x14ac:dyDescent="0.25">
      <c r="A54" s="14"/>
      <c r="B54" s="14"/>
      <c r="C54" s="14"/>
      <c r="D54" s="14"/>
      <c r="E54" s="14"/>
      <c r="F54" s="198">
        <v>22</v>
      </c>
      <c r="G54" s="422" t="e">
        <f>#REF!</f>
        <v>#REF!</v>
      </c>
      <c r="H54" s="243"/>
      <c r="I54" s="416" t="e">
        <f>#REF!</f>
        <v>#REF!</v>
      </c>
      <c r="J54" s="242"/>
      <c r="K54" s="242"/>
      <c r="L54" s="242"/>
      <c r="M54" s="242"/>
      <c r="N54" s="242"/>
      <c r="O54" s="242"/>
      <c r="P54" s="243"/>
      <c r="Q54" s="416" t="e">
        <f>#REF!</f>
        <v>#REF!</v>
      </c>
      <c r="R54" s="242"/>
      <c r="S54" s="243"/>
      <c r="T54" s="416" t="e">
        <f>#REF!</f>
        <v>#REF!</v>
      </c>
      <c r="U54" s="242"/>
      <c r="V54" s="242"/>
      <c r="W54" s="242"/>
      <c r="X54" s="242"/>
      <c r="Y54" s="242"/>
      <c r="Z54" s="242"/>
      <c r="AA54" s="242"/>
      <c r="AB54" s="242"/>
      <c r="AC54" s="385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</row>
    <row r="55" spans="1:46" ht="15.75" customHeight="1" x14ac:dyDescent="0.25">
      <c r="A55" s="14"/>
      <c r="B55" s="14"/>
      <c r="C55" s="14"/>
      <c r="D55" s="14"/>
      <c r="E55" s="14"/>
      <c r="F55" s="198">
        <v>23</v>
      </c>
      <c r="G55" s="422" t="e">
        <f>#REF!</f>
        <v>#REF!</v>
      </c>
      <c r="H55" s="243"/>
      <c r="I55" s="416" t="e">
        <f>#REF!</f>
        <v>#REF!</v>
      </c>
      <c r="J55" s="242"/>
      <c r="K55" s="242"/>
      <c r="L55" s="242"/>
      <c r="M55" s="242"/>
      <c r="N55" s="242"/>
      <c r="O55" s="242"/>
      <c r="P55" s="243"/>
      <c r="Q55" s="416" t="e">
        <f>#REF!</f>
        <v>#REF!</v>
      </c>
      <c r="R55" s="242"/>
      <c r="S55" s="243"/>
      <c r="T55" s="416" t="e">
        <f>#REF!</f>
        <v>#REF!</v>
      </c>
      <c r="U55" s="242"/>
      <c r="V55" s="242"/>
      <c r="W55" s="242"/>
      <c r="X55" s="242"/>
      <c r="Y55" s="242"/>
      <c r="Z55" s="242"/>
      <c r="AA55" s="242"/>
      <c r="AB55" s="242"/>
      <c r="AC55" s="385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</row>
    <row r="56" spans="1:46" ht="15.75" customHeight="1" x14ac:dyDescent="0.25">
      <c r="A56" s="14"/>
      <c r="B56" s="14"/>
      <c r="C56" s="14"/>
      <c r="D56" s="14"/>
      <c r="E56" s="14"/>
      <c r="F56" s="198">
        <v>24</v>
      </c>
      <c r="G56" s="422" t="e">
        <f>#REF!</f>
        <v>#REF!</v>
      </c>
      <c r="H56" s="243"/>
      <c r="I56" s="416" t="e">
        <f>#REF!</f>
        <v>#REF!</v>
      </c>
      <c r="J56" s="242"/>
      <c r="K56" s="242"/>
      <c r="L56" s="242"/>
      <c r="M56" s="242"/>
      <c r="N56" s="242"/>
      <c r="O56" s="242"/>
      <c r="P56" s="243"/>
      <c r="Q56" s="416" t="e">
        <f>#REF!</f>
        <v>#REF!</v>
      </c>
      <c r="R56" s="242"/>
      <c r="S56" s="243"/>
      <c r="T56" s="416" t="e">
        <f>#REF!</f>
        <v>#REF!</v>
      </c>
      <c r="U56" s="242"/>
      <c r="V56" s="242"/>
      <c r="W56" s="242"/>
      <c r="X56" s="242"/>
      <c r="Y56" s="242"/>
      <c r="Z56" s="242"/>
      <c r="AA56" s="242"/>
      <c r="AB56" s="242"/>
      <c r="AC56" s="385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</row>
    <row r="57" spans="1:46" ht="15.75" customHeight="1" x14ac:dyDescent="0.25">
      <c r="A57" s="14"/>
      <c r="B57" s="14"/>
      <c r="C57" s="14"/>
      <c r="D57" s="14"/>
      <c r="E57" s="14"/>
      <c r="F57" s="198">
        <v>25</v>
      </c>
      <c r="G57" s="422" t="e">
        <f>#REF!</f>
        <v>#REF!</v>
      </c>
      <c r="H57" s="243"/>
      <c r="I57" s="416" t="e">
        <f>#REF!</f>
        <v>#REF!</v>
      </c>
      <c r="J57" s="242"/>
      <c r="K57" s="242"/>
      <c r="L57" s="242"/>
      <c r="M57" s="242"/>
      <c r="N57" s="242"/>
      <c r="O57" s="242"/>
      <c r="P57" s="243"/>
      <c r="Q57" s="416" t="e">
        <f>#REF!</f>
        <v>#REF!</v>
      </c>
      <c r="R57" s="242"/>
      <c r="S57" s="243"/>
      <c r="T57" s="416" t="e">
        <f>#REF!</f>
        <v>#REF!</v>
      </c>
      <c r="U57" s="242"/>
      <c r="V57" s="242"/>
      <c r="W57" s="242"/>
      <c r="X57" s="242"/>
      <c r="Y57" s="242"/>
      <c r="Z57" s="242"/>
      <c r="AA57" s="242"/>
      <c r="AB57" s="242"/>
      <c r="AC57" s="385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</row>
    <row r="58" spans="1:46" ht="15.75" customHeight="1" x14ac:dyDescent="0.25">
      <c r="A58" s="14"/>
      <c r="B58" s="14"/>
      <c r="C58" s="14"/>
      <c r="D58" s="14"/>
      <c r="E58" s="14"/>
      <c r="F58" s="198">
        <v>26</v>
      </c>
      <c r="G58" s="422" t="e">
        <f>#REF!</f>
        <v>#REF!</v>
      </c>
      <c r="H58" s="243"/>
      <c r="I58" s="416" t="e">
        <f>#REF!</f>
        <v>#REF!</v>
      </c>
      <c r="J58" s="242"/>
      <c r="K58" s="242"/>
      <c r="L58" s="242"/>
      <c r="M58" s="242"/>
      <c r="N58" s="242"/>
      <c r="O58" s="242"/>
      <c r="P58" s="243"/>
      <c r="Q58" s="416" t="e">
        <f>#REF!</f>
        <v>#REF!</v>
      </c>
      <c r="R58" s="242"/>
      <c r="S58" s="243"/>
      <c r="T58" s="416" t="e">
        <f>#REF!</f>
        <v>#REF!</v>
      </c>
      <c r="U58" s="242"/>
      <c r="V58" s="242"/>
      <c r="W58" s="242"/>
      <c r="X58" s="242"/>
      <c r="Y58" s="242"/>
      <c r="Z58" s="242"/>
      <c r="AA58" s="242"/>
      <c r="AB58" s="242"/>
      <c r="AC58" s="385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</row>
    <row r="59" spans="1:46" ht="15.75" customHeight="1" x14ac:dyDescent="0.25">
      <c r="A59" s="14"/>
      <c r="B59" s="14"/>
      <c r="C59" s="14"/>
      <c r="D59" s="14"/>
      <c r="E59" s="14"/>
      <c r="F59" s="198">
        <v>27</v>
      </c>
      <c r="G59" s="422" t="e">
        <f>#REF!</f>
        <v>#REF!</v>
      </c>
      <c r="H59" s="243"/>
      <c r="I59" s="416" t="e">
        <f>#REF!</f>
        <v>#REF!</v>
      </c>
      <c r="J59" s="242"/>
      <c r="K59" s="242"/>
      <c r="L59" s="242"/>
      <c r="M59" s="242"/>
      <c r="N59" s="242"/>
      <c r="O59" s="242"/>
      <c r="P59" s="243"/>
      <c r="Q59" s="416" t="e">
        <f>#REF!</f>
        <v>#REF!</v>
      </c>
      <c r="R59" s="242"/>
      <c r="S59" s="243"/>
      <c r="T59" s="416" t="e">
        <f>#REF!</f>
        <v>#REF!</v>
      </c>
      <c r="U59" s="242"/>
      <c r="V59" s="242"/>
      <c r="W59" s="242"/>
      <c r="X59" s="242"/>
      <c r="Y59" s="242"/>
      <c r="Z59" s="242"/>
      <c r="AA59" s="242"/>
      <c r="AB59" s="242"/>
      <c r="AC59" s="385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</row>
    <row r="60" spans="1:46" ht="15.75" customHeight="1" x14ac:dyDescent="0.25">
      <c r="A60" s="14"/>
      <c r="B60" s="14"/>
      <c r="C60" s="14"/>
      <c r="D60" s="14"/>
      <c r="E60" s="14"/>
      <c r="F60" s="198">
        <v>28</v>
      </c>
      <c r="G60" s="422" t="e">
        <f>#REF!</f>
        <v>#REF!</v>
      </c>
      <c r="H60" s="243"/>
      <c r="I60" s="416" t="e">
        <f>#REF!</f>
        <v>#REF!</v>
      </c>
      <c r="J60" s="242"/>
      <c r="K60" s="242"/>
      <c r="L60" s="242"/>
      <c r="M60" s="242"/>
      <c r="N60" s="242"/>
      <c r="O60" s="242"/>
      <c r="P60" s="243"/>
      <c r="Q60" s="416" t="e">
        <f>#REF!</f>
        <v>#REF!</v>
      </c>
      <c r="R60" s="242"/>
      <c r="S60" s="243"/>
      <c r="T60" s="416" t="e">
        <f>#REF!</f>
        <v>#REF!</v>
      </c>
      <c r="U60" s="242"/>
      <c r="V60" s="242"/>
      <c r="W60" s="242"/>
      <c r="X60" s="242"/>
      <c r="Y60" s="242"/>
      <c r="Z60" s="242"/>
      <c r="AA60" s="242"/>
      <c r="AB60" s="242"/>
      <c r="AC60" s="385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</row>
    <row r="61" spans="1:46" ht="15.75" customHeight="1" x14ac:dyDescent="0.25">
      <c r="A61" s="14"/>
      <c r="B61" s="14"/>
      <c r="C61" s="14"/>
      <c r="D61" s="14"/>
      <c r="E61" s="14"/>
      <c r="F61" s="198">
        <v>29</v>
      </c>
      <c r="G61" s="422" t="e">
        <f>#REF!</f>
        <v>#REF!</v>
      </c>
      <c r="H61" s="243"/>
      <c r="I61" s="416" t="e">
        <f>#REF!</f>
        <v>#REF!</v>
      </c>
      <c r="J61" s="242"/>
      <c r="K61" s="242"/>
      <c r="L61" s="242"/>
      <c r="M61" s="242"/>
      <c r="N61" s="242"/>
      <c r="O61" s="242"/>
      <c r="P61" s="243"/>
      <c r="Q61" s="416" t="e">
        <f>#REF!</f>
        <v>#REF!</v>
      </c>
      <c r="R61" s="242"/>
      <c r="S61" s="243"/>
      <c r="T61" s="416" t="e">
        <f>#REF!</f>
        <v>#REF!</v>
      </c>
      <c r="U61" s="242"/>
      <c r="V61" s="242"/>
      <c r="W61" s="242"/>
      <c r="X61" s="242"/>
      <c r="Y61" s="242"/>
      <c r="Z61" s="242"/>
      <c r="AA61" s="242"/>
      <c r="AB61" s="242"/>
      <c r="AC61" s="385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</row>
    <row r="62" spans="1:46" ht="15" customHeight="1" x14ac:dyDescent="0.25">
      <c r="A62" s="14"/>
      <c r="B62" s="14"/>
      <c r="C62" s="14"/>
      <c r="D62" s="14"/>
      <c r="E62" s="14"/>
      <c r="F62" s="198">
        <v>30</v>
      </c>
      <c r="G62" s="422" t="e">
        <f>#REF!</f>
        <v>#REF!</v>
      </c>
      <c r="H62" s="243"/>
      <c r="I62" s="416" t="e">
        <f>#REF!</f>
        <v>#REF!</v>
      </c>
      <c r="J62" s="242"/>
      <c r="K62" s="242"/>
      <c r="L62" s="242"/>
      <c r="M62" s="242"/>
      <c r="N62" s="242"/>
      <c r="O62" s="242"/>
      <c r="P62" s="243"/>
      <c r="Q62" s="416" t="e">
        <f>#REF!</f>
        <v>#REF!</v>
      </c>
      <c r="R62" s="242"/>
      <c r="S62" s="243"/>
      <c r="T62" s="416" t="e">
        <f>#REF!</f>
        <v>#REF!</v>
      </c>
      <c r="U62" s="242"/>
      <c r="V62" s="242"/>
      <c r="W62" s="242"/>
      <c r="X62" s="242"/>
      <c r="Y62" s="242"/>
      <c r="Z62" s="242"/>
      <c r="AA62" s="242"/>
      <c r="AB62" s="242"/>
      <c r="AC62" s="385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</row>
    <row r="63" spans="1:4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</row>
    <row r="64" spans="1:4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</row>
    <row r="65" spans="1:4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</row>
    <row r="66" spans="1:4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</row>
    <row r="67" spans="1:4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</row>
    <row r="68" spans="1:4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</row>
    <row r="69" spans="1:4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</row>
    <row r="70" spans="1:4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</row>
    <row r="71" spans="1:4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</row>
    <row r="72" spans="1:4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</row>
    <row r="73" spans="1:4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</row>
    <row r="74" spans="1:4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</row>
    <row r="75" spans="1:4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</row>
    <row r="76" spans="1:4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</row>
    <row r="77" spans="1:4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</row>
    <row r="78" spans="1:4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</row>
    <row r="79" spans="1:4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</row>
    <row r="80" spans="1:4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</row>
    <row r="81" spans="1:4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</row>
    <row r="82" spans="1:4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</row>
    <row r="83" spans="1:4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</row>
    <row r="84" spans="1:4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</row>
    <row r="85" spans="1:4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</row>
    <row r="86" spans="1:4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</row>
    <row r="87" spans="1:4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</row>
    <row r="88" spans="1:4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</row>
    <row r="89" spans="1:4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</row>
    <row r="90" spans="1:4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</row>
    <row r="91" spans="1:4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</row>
    <row r="92" spans="1:4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</row>
    <row r="93" spans="1:4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</row>
    <row r="94" spans="1:4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</row>
    <row r="95" spans="1:4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</row>
    <row r="96" spans="1:4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</row>
    <row r="97" spans="1:4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</row>
    <row r="98" spans="1:4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</row>
    <row r="99" spans="1:4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</row>
    <row r="100" spans="1:4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</row>
    <row r="101" spans="1:4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</row>
    <row r="102" spans="1:4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</row>
    <row r="103" spans="1:4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</row>
    <row r="104" spans="1:4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</row>
    <row r="105" spans="1:4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</row>
    <row r="106" spans="1:4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</row>
    <row r="107" spans="1:4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</row>
    <row r="108" spans="1:4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</row>
    <row r="109" spans="1:4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</row>
    <row r="110" spans="1:4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</row>
    <row r="111" spans="1:4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</row>
    <row r="112" spans="1:4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</row>
    <row r="113" spans="1:4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</row>
    <row r="114" spans="1:4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</row>
    <row r="115" spans="1:4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</row>
    <row r="116" spans="1:4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</row>
    <row r="117" spans="1:4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</row>
    <row r="118" spans="1:4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</row>
    <row r="119" spans="1:4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</row>
    <row r="120" spans="1:4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</row>
    <row r="121" spans="1:4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</row>
    <row r="122" spans="1:4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</row>
    <row r="123" spans="1:4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</row>
    <row r="124" spans="1:4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</row>
    <row r="125" spans="1:4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</row>
    <row r="126" spans="1:4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</row>
    <row r="127" spans="1:4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</row>
    <row r="128" spans="1:4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</row>
    <row r="129" spans="1:4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</row>
    <row r="130" spans="1:4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</row>
    <row r="131" spans="1:4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</row>
    <row r="132" spans="1:4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</row>
    <row r="133" spans="1:4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</row>
    <row r="134" spans="1:4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 spans="1:4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</row>
    <row r="136" spans="1:4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 spans="1:4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</row>
    <row r="138" spans="1:4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</row>
    <row r="139" spans="1:4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</row>
    <row r="140" spans="1:4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</row>
    <row r="141" spans="1:4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</row>
    <row r="142" spans="1:4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</row>
    <row r="143" spans="1:4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</row>
    <row r="144" spans="1:4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</row>
    <row r="145" spans="1:4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</row>
    <row r="146" spans="1:4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</row>
    <row r="147" spans="1:4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</row>
    <row r="148" spans="1:4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</row>
    <row r="149" spans="1:4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</row>
    <row r="150" spans="1:4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</row>
    <row r="151" spans="1:4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</row>
    <row r="152" spans="1:4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</row>
    <row r="153" spans="1:4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</row>
    <row r="154" spans="1:4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</row>
    <row r="155" spans="1:4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</row>
    <row r="156" spans="1:4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</row>
    <row r="157" spans="1:4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</row>
    <row r="158" spans="1:4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</row>
    <row r="159" spans="1:4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</row>
    <row r="160" spans="1:4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</row>
    <row r="161" spans="1:4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</row>
    <row r="162" spans="1:4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</row>
    <row r="163" spans="1:4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</row>
    <row r="164" spans="1:4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</row>
    <row r="165" spans="1:4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</row>
    <row r="166" spans="1:4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</row>
    <row r="167" spans="1:4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</row>
    <row r="168" spans="1:4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</row>
    <row r="169" spans="1:4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</row>
    <row r="170" spans="1:4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</row>
    <row r="171" spans="1:4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</row>
    <row r="172" spans="1:4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</row>
    <row r="173" spans="1:4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</row>
    <row r="174" spans="1:4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</row>
    <row r="175" spans="1:4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</row>
    <row r="176" spans="1:4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</row>
    <row r="177" spans="1:4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</row>
    <row r="178" spans="1:4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</row>
    <row r="179" spans="1:4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</row>
    <row r="180" spans="1:4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</row>
    <row r="181" spans="1:4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</row>
    <row r="182" spans="1:4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</row>
    <row r="183" spans="1:4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</row>
    <row r="184" spans="1:4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</row>
    <row r="185" spans="1:4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</row>
    <row r="186" spans="1:4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</row>
    <row r="187" spans="1:4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</row>
    <row r="188" spans="1:4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</row>
    <row r="189" spans="1:4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</row>
    <row r="190" spans="1:4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</row>
    <row r="191" spans="1:4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</row>
    <row r="192" spans="1:4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</row>
    <row r="193" spans="1:4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</row>
    <row r="194" spans="1:4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</row>
    <row r="195" spans="1:4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</row>
    <row r="196" spans="1:4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</row>
    <row r="197" spans="1:4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</row>
    <row r="198" spans="1:4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</row>
    <row r="199" spans="1:4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</row>
    <row r="200" spans="1:4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</row>
    <row r="201" spans="1:4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</row>
    <row r="202" spans="1:4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</row>
    <row r="203" spans="1:4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</row>
    <row r="204" spans="1:4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</row>
    <row r="205" spans="1:4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</row>
    <row r="206" spans="1:4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</row>
    <row r="207" spans="1:4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</row>
    <row r="208" spans="1:4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</row>
    <row r="209" spans="1:4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</row>
    <row r="210" spans="1:4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</row>
    <row r="211" spans="1:4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</row>
    <row r="212" spans="1:4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</row>
    <row r="213" spans="1:4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</row>
    <row r="214" spans="1:4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</row>
    <row r="215" spans="1:4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</row>
    <row r="216" spans="1:4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</row>
    <row r="217" spans="1:4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</row>
    <row r="218" spans="1:4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</row>
    <row r="219" spans="1:4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</row>
    <row r="220" spans="1:4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</row>
    <row r="221" spans="1:4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</row>
    <row r="222" spans="1:4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</row>
    <row r="223" spans="1:4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</row>
    <row r="224" spans="1:4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</row>
    <row r="225" spans="1:4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</row>
    <row r="226" spans="1:4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</row>
    <row r="227" spans="1:4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</row>
    <row r="228" spans="1:4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</row>
    <row r="229" spans="1:4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</row>
    <row r="230" spans="1:4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</row>
    <row r="231" spans="1:4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</row>
    <row r="232" spans="1:4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</row>
    <row r="233" spans="1:4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</row>
    <row r="234" spans="1:4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</row>
    <row r="235" spans="1:4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</row>
    <row r="236" spans="1:4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</row>
    <row r="237" spans="1:46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</row>
    <row r="238" spans="1:46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</row>
    <row r="239" spans="1:46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</row>
    <row r="240" spans="1:4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</row>
    <row r="241" spans="1:46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</row>
    <row r="242" spans="1:46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</row>
    <row r="243" spans="1:46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</row>
    <row r="244" spans="1:46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</row>
    <row r="245" spans="1:46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</row>
    <row r="246" spans="1:4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</row>
    <row r="247" spans="1:46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</row>
    <row r="248" spans="1:46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</row>
    <row r="249" spans="1:46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</row>
    <row r="250" spans="1:46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</row>
    <row r="251" spans="1:46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</row>
    <row r="252" spans="1:4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</row>
    <row r="253" spans="1:46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</row>
    <row r="254" spans="1:46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</row>
    <row r="255" spans="1:46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</row>
    <row r="256" spans="1:46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</row>
    <row r="257" spans="1:46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</row>
    <row r="258" spans="1:4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</row>
    <row r="259" spans="1:46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</row>
    <row r="260" spans="1:46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</row>
    <row r="261" spans="1:46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</row>
    <row r="262" spans="1:46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</row>
    <row r="263" spans="1:46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</row>
    <row r="264" spans="1:46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</row>
    <row r="265" spans="1:46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</row>
    <row r="266" spans="1:4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</row>
    <row r="267" spans="1:46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</row>
    <row r="268" spans="1:46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</row>
    <row r="269" spans="1:46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</row>
    <row r="270" spans="1:46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</row>
    <row r="271" spans="1:46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</row>
    <row r="272" spans="1:46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</row>
    <row r="273" spans="1:46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</row>
    <row r="274" spans="1:46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</row>
    <row r="275" spans="1:4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</row>
    <row r="276" spans="1:46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</row>
    <row r="277" spans="1:46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</row>
    <row r="278" spans="1:46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</row>
    <row r="279" spans="1:46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</row>
    <row r="280" spans="1:46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</row>
    <row r="281" spans="1:46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</row>
    <row r="282" spans="1:46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</row>
    <row r="283" spans="1:46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</row>
    <row r="284" spans="1:46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</row>
    <row r="285" spans="1:46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</row>
    <row r="286" spans="1:46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</row>
    <row r="287" spans="1:46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</row>
    <row r="288" spans="1:46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</row>
    <row r="289" spans="1:46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</row>
    <row r="290" spans="1:46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</row>
    <row r="291" spans="1:46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</row>
    <row r="292" spans="1:46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</row>
    <row r="293" spans="1:46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</row>
    <row r="294" spans="1:46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</row>
    <row r="295" spans="1:46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</row>
    <row r="296" spans="1:46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</row>
    <row r="297" spans="1:46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</row>
    <row r="298" spans="1:46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</row>
    <row r="299" spans="1:46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</row>
    <row r="300" spans="1:46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</row>
    <row r="301" spans="1:46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</row>
    <row r="302" spans="1:46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</row>
    <row r="303" spans="1:46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</row>
    <row r="304" spans="1:46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</row>
    <row r="305" spans="1:46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</row>
    <row r="306" spans="1:46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</row>
    <row r="307" spans="1:46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</row>
    <row r="308" spans="1:46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</row>
    <row r="309" spans="1:46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</row>
    <row r="310" spans="1:46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</row>
    <row r="311" spans="1:46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</row>
    <row r="312" spans="1:46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</row>
    <row r="313" spans="1:46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</row>
    <row r="314" spans="1:46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</row>
    <row r="315" spans="1:46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</row>
    <row r="316" spans="1:46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</row>
    <row r="317" spans="1:46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</row>
    <row r="318" spans="1:46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</row>
    <row r="319" spans="1:46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</row>
    <row r="320" spans="1:46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</row>
    <row r="321" spans="1:46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</row>
    <row r="322" spans="1:46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</row>
    <row r="323" spans="1:46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</row>
    <row r="324" spans="1:46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</row>
    <row r="325" spans="1:46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</row>
    <row r="326" spans="1:46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</row>
    <row r="327" spans="1:46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</row>
    <row r="328" spans="1:46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</row>
    <row r="329" spans="1:46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</row>
    <row r="330" spans="1:46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</row>
    <row r="331" spans="1:46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</row>
    <row r="332" spans="1:46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</row>
    <row r="333" spans="1:46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</row>
    <row r="334" spans="1:46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</row>
    <row r="335" spans="1:46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</row>
    <row r="336" spans="1:46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</row>
    <row r="337" spans="1:46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</row>
    <row r="338" spans="1:46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</row>
    <row r="339" spans="1:46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</row>
    <row r="340" spans="1:46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</row>
    <row r="341" spans="1:46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</row>
    <row r="342" spans="1:46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</row>
    <row r="343" spans="1:46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</row>
    <row r="344" spans="1:46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</row>
    <row r="345" spans="1:46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</row>
    <row r="346" spans="1:46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</row>
    <row r="347" spans="1:46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</row>
    <row r="348" spans="1:46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</row>
    <row r="349" spans="1:46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</row>
    <row r="350" spans="1:46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</row>
    <row r="351" spans="1:46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</row>
    <row r="352" spans="1:46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</row>
    <row r="353" spans="1:46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</row>
    <row r="354" spans="1:46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</row>
    <row r="355" spans="1:46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</row>
    <row r="356" spans="1:46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</row>
    <row r="357" spans="1:46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</row>
    <row r="358" spans="1:46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</row>
    <row r="359" spans="1:46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</row>
    <row r="360" spans="1:46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</row>
    <row r="361" spans="1:46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</row>
    <row r="362" spans="1:46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</row>
    <row r="363" spans="1:46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</row>
    <row r="364" spans="1:46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</row>
    <row r="365" spans="1:46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</row>
    <row r="366" spans="1:46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</row>
    <row r="367" spans="1:46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</row>
    <row r="368" spans="1:46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</row>
    <row r="369" spans="1:46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</row>
    <row r="370" spans="1:46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</row>
    <row r="371" spans="1:46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</row>
    <row r="372" spans="1:46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</row>
    <row r="373" spans="1:46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</row>
    <row r="374" spans="1:46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</row>
    <row r="375" spans="1:46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</row>
    <row r="376" spans="1:46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</row>
    <row r="377" spans="1:46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</row>
    <row r="378" spans="1:46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</row>
    <row r="379" spans="1:46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</row>
    <row r="380" spans="1:46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</row>
    <row r="381" spans="1:46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</row>
    <row r="382" spans="1:46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</row>
    <row r="383" spans="1:46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</row>
    <row r="384" spans="1:46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</row>
    <row r="385" spans="1:46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</row>
    <row r="386" spans="1:46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</row>
    <row r="387" spans="1:46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</row>
    <row r="388" spans="1:46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</row>
    <row r="389" spans="1:46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</row>
    <row r="390" spans="1:46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</row>
    <row r="391" spans="1:46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</row>
    <row r="392" spans="1:46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</row>
    <row r="393" spans="1:46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</row>
    <row r="394" spans="1:46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</row>
    <row r="395" spans="1:46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</row>
    <row r="396" spans="1:46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</row>
    <row r="397" spans="1:46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</row>
    <row r="398" spans="1:46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</row>
    <row r="399" spans="1:46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</row>
    <row r="400" spans="1:46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</row>
    <row r="401" spans="1:46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</row>
    <row r="402" spans="1:46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</row>
    <row r="403" spans="1:46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</row>
    <row r="404" spans="1:46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</row>
    <row r="405" spans="1:46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</row>
    <row r="406" spans="1:46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</row>
    <row r="407" spans="1:46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</row>
    <row r="408" spans="1:46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</row>
    <row r="409" spans="1:46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</row>
    <row r="410" spans="1:46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</row>
    <row r="411" spans="1:46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</row>
    <row r="412" spans="1:46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</row>
    <row r="413" spans="1:46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</row>
    <row r="414" spans="1:46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</row>
    <row r="415" spans="1:46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</row>
    <row r="416" spans="1:46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</row>
    <row r="417" spans="1:46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</row>
    <row r="418" spans="1:46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</row>
    <row r="419" spans="1:46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</row>
    <row r="420" spans="1:46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</row>
    <row r="421" spans="1:46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</row>
    <row r="422" spans="1:46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</row>
    <row r="423" spans="1:46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</row>
    <row r="424" spans="1:46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</row>
    <row r="425" spans="1:46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</row>
    <row r="426" spans="1:46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</row>
    <row r="427" spans="1:46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</row>
    <row r="428" spans="1:46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</row>
    <row r="429" spans="1:46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</row>
    <row r="430" spans="1:46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</row>
    <row r="431" spans="1:46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</row>
    <row r="432" spans="1:46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</row>
    <row r="433" spans="1:46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</row>
    <row r="434" spans="1:46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</row>
    <row r="435" spans="1:46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</row>
    <row r="436" spans="1:46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</row>
    <row r="437" spans="1:46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</row>
    <row r="438" spans="1:46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</row>
    <row r="439" spans="1:46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</row>
    <row r="440" spans="1:46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</row>
    <row r="441" spans="1:46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</row>
    <row r="442" spans="1:46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</row>
    <row r="443" spans="1:46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</row>
    <row r="444" spans="1:46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</row>
    <row r="445" spans="1:46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</row>
    <row r="446" spans="1:46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</row>
    <row r="447" spans="1:46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</row>
    <row r="448" spans="1:46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</row>
    <row r="449" spans="1:46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</row>
    <row r="450" spans="1:46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</row>
    <row r="451" spans="1:46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</row>
    <row r="452" spans="1:46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</row>
    <row r="453" spans="1:46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</row>
    <row r="454" spans="1:46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</row>
    <row r="455" spans="1:46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</row>
    <row r="456" spans="1:46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</row>
    <row r="457" spans="1:46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</row>
    <row r="458" spans="1:46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</row>
    <row r="459" spans="1:46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</row>
    <row r="460" spans="1:46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</row>
    <row r="461" spans="1:46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</row>
    <row r="462" spans="1:46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</row>
    <row r="463" spans="1:46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</row>
    <row r="464" spans="1:46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</row>
    <row r="465" spans="1:46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</row>
    <row r="466" spans="1:46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</row>
    <row r="467" spans="1:46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</row>
    <row r="468" spans="1:46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</row>
    <row r="469" spans="1:46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</row>
    <row r="470" spans="1:46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</row>
    <row r="471" spans="1:46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</row>
    <row r="472" spans="1:46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</row>
    <row r="473" spans="1:46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</row>
    <row r="474" spans="1:46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</row>
    <row r="475" spans="1:46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</row>
    <row r="476" spans="1:46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</row>
    <row r="477" spans="1:46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</row>
    <row r="478" spans="1:46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</row>
    <row r="479" spans="1:46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</row>
    <row r="480" spans="1:46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</row>
    <row r="481" spans="1:46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</row>
    <row r="482" spans="1:46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</row>
    <row r="483" spans="1:46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</row>
    <row r="484" spans="1:46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</row>
    <row r="485" spans="1:46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</row>
    <row r="486" spans="1:46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</row>
    <row r="487" spans="1:46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</row>
    <row r="488" spans="1:46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</row>
    <row r="489" spans="1:46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</row>
    <row r="490" spans="1:46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</row>
    <row r="491" spans="1:46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</row>
    <row r="492" spans="1:46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</row>
    <row r="493" spans="1:46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</row>
    <row r="494" spans="1:46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</row>
    <row r="495" spans="1:46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</row>
    <row r="496" spans="1:46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</row>
    <row r="497" spans="1:46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</row>
    <row r="498" spans="1:46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</row>
    <row r="499" spans="1:46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</row>
    <row r="500" spans="1:46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</row>
    <row r="501" spans="1:46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</row>
    <row r="502" spans="1:46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</row>
    <row r="503" spans="1:46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</row>
    <row r="504" spans="1:46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</row>
    <row r="505" spans="1:46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</row>
    <row r="506" spans="1:46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</row>
    <row r="507" spans="1:46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</row>
    <row r="508" spans="1:46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</row>
    <row r="509" spans="1:46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</row>
    <row r="510" spans="1:46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</row>
    <row r="511" spans="1:46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</row>
    <row r="512" spans="1:46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</row>
    <row r="513" spans="1:46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</row>
    <row r="514" spans="1:46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</row>
    <row r="515" spans="1:46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</row>
    <row r="516" spans="1:46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</row>
    <row r="517" spans="1:46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</row>
    <row r="518" spans="1:46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</row>
    <row r="519" spans="1:46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</row>
    <row r="520" spans="1:46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</row>
    <row r="521" spans="1:46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</row>
    <row r="522" spans="1:46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</row>
    <row r="523" spans="1:46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</row>
    <row r="524" spans="1:46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</row>
    <row r="525" spans="1:46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</row>
    <row r="526" spans="1:46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</row>
    <row r="527" spans="1:46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</row>
    <row r="528" spans="1:46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</row>
    <row r="529" spans="1:46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</row>
    <row r="530" spans="1:46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</row>
    <row r="531" spans="1:46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</row>
    <row r="532" spans="1:46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</row>
    <row r="533" spans="1:46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</row>
    <row r="534" spans="1:46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</row>
    <row r="535" spans="1:46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</row>
    <row r="536" spans="1:46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</row>
    <row r="537" spans="1:46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</row>
    <row r="538" spans="1:46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</row>
    <row r="539" spans="1:46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</row>
    <row r="540" spans="1:46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</row>
    <row r="541" spans="1:46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</row>
    <row r="542" spans="1:46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</row>
    <row r="543" spans="1:46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</row>
    <row r="544" spans="1:46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</row>
    <row r="545" spans="1:46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</row>
    <row r="546" spans="1:46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</row>
    <row r="547" spans="1:46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</row>
    <row r="548" spans="1:46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</row>
    <row r="549" spans="1:46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</row>
    <row r="550" spans="1:46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</row>
    <row r="551" spans="1:46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</row>
    <row r="552" spans="1:46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</row>
    <row r="553" spans="1:46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</row>
    <row r="554" spans="1:46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</row>
    <row r="555" spans="1:46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</row>
    <row r="556" spans="1:46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</row>
    <row r="557" spans="1:46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</row>
    <row r="558" spans="1:46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</row>
    <row r="559" spans="1:46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</row>
    <row r="560" spans="1:46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</row>
    <row r="561" spans="1:46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</row>
    <row r="562" spans="1:46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</row>
    <row r="563" spans="1:46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</row>
    <row r="564" spans="1:46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</row>
    <row r="565" spans="1:46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</row>
    <row r="566" spans="1:46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</row>
    <row r="567" spans="1:46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</row>
    <row r="568" spans="1:46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</row>
    <row r="569" spans="1:46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</row>
    <row r="570" spans="1:46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</row>
    <row r="571" spans="1:46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</row>
    <row r="572" spans="1:46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</row>
    <row r="573" spans="1:46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</row>
    <row r="574" spans="1:46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</row>
    <row r="575" spans="1:46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</row>
    <row r="576" spans="1:46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</row>
    <row r="577" spans="1:46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</row>
    <row r="578" spans="1:46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</row>
    <row r="579" spans="1:46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</row>
    <row r="580" spans="1:46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</row>
    <row r="581" spans="1:46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</row>
    <row r="582" spans="1:46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</row>
    <row r="583" spans="1:46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</row>
    <row r="584" spans="1:46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</row>
    <row r="585" spans="1:46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</row>
    <row r="586" spans="1:46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</row>
    <row r="587" spans="1:46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</row>
    <row r="588" spans="1:46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</row>
    <row r="589" spans="1:46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</row>
    <row r="590" spans="1:46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</row>
    <row r="591" spans="1:46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</row>
    <row r="592" spans="1:46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</row>
    <row r="593" spans="1:46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</row>
    <row r="594" spans="1:46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</row>
    <row r="595" spans="1:46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</row>
    <row r="596" spans="1:46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</row>
    <row r="597" spans="1:46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</row>
    <row r="598" spans="1:46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</row>
    <row r="599" spans="1:46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</row>
    <row r="600" spans="1:46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</row>
    <row r="601" spans="1:46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</row>
    <row r="602" spans="1:46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</row>
    <row r="603" spans="1:46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</row>
    <row r="604" spans="1:46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</row>
    <row r="605" spans="1:46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</row>
    <row r="606" spans="1:46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</row>
    <row r="607" spans="1:46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</row>
    <row r="608" spans="1:46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</row>
    <row r="609" spans="1:46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</row>
    <row r="610" spans="1:46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</row>
    <row r="611" spans="1:46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</row>
    <row r="612" spans="1:46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</row>
    <row r="613" spans="1:46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</row>
    <row r="614" spans="1:46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</row>
    <row r="615" spans="1:46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</row>
    <row r="616" spans="1:46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</row>
    <row r="617" spans="1:46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</row>
    <row r="618" spans="1:46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</row>
    <row r="619" spans="1:46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</row>
    <row r="620" spans="1:46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</row>
    <row r="621" spans="1:46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</row>
    <row r="622" spans="1:46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</row>
    <row r="623" spans="1:46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</row>
    <row r="624" spans="1:46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</row>
    <row r="625" spans="1:46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</row>
    <row r="626" spans="1:46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</row>
    <row r="627" spans="1:46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</row>
    <row r="628" spans="1:46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</row>
    <row r="629" spans="1:46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</row>
    <row r="630" spans="1:46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</row>
    <row r="631" spans="1:46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</row>
    <row r="632" spans="1:46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</row>
    <row r="633" spans="1:46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</row>
    <row r="634" spans="1:46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</row>
    <row r="635" spans="1:46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</row>
    <row r="636" spans="1:46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</row>
    <row r="637" spans="1:46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</row>
    <row r="638" spans="1:46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</row>
    <row r="639" spans="1:46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</row>
    <row r="640" spans="1:46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</row>
    <row r="641" spans="1:46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</row>
    <row r="642" spans="1:46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</row>
    <row r="643" spans="1:46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</row>
    <row r="644" spans="1:46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</row>
    <row r="645" spans="1:46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</row>
    <row r="646" spans="1:46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</row>
    <row r="647" spans="1:46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</row>
    <row r="648" spans="1:46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</row>
    <row r="649" spans="1:46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</row>
    <row r="650" spans="1:46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</row>
    <row r="651" spans="1:46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</row>
    <row r="652" spans="1:46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</row>
    <row r="653" spans="1:46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</row>
    <row r="654" spans="1:46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</row>
    <row r="655" spans="1:46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</row>
    <row r="656" spans="1:46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</row>
    <row r="657" spans="1:46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</row>
    <row r="658" spans="1:46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</row>
    <row r="659" spans="1:46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</row>
    <row r="660" spans="1:46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</row>
    <row r="661" spans="1:46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</row>
    <row r="662" spans="1:46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</row>
    <row r="663" spans="1:46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</row>
    <row r="664" spans="1:46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</row>
    <row r="665" spans="1:46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</row>
    <row r="666" spans="1:46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</row>
    <row r="667" spans="1:46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</row>
    <row r="668" spans="1:46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</row>
    <row r="669" spans="1:46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</row>
    <row r="670" spans="1:46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</row>
    <row r="671" spans="1:46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</row>
    <row r="672" spans="1:46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</row>
    <row r="673" spans="1:46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</row>
    <row r="674" spans="1:46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</row>
    <row r="675" spans="1:46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</row>
    <row r="676" spans="1:46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</row>
    <row r="677" spans="1:46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</row>
    <row r="678" spans="1:46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</row>
    <row r="679" spans="1:46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</row>
    <row r="680" spans="1:46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</row>
    <row r="681" spans="1:46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</row>
    <row r="682" spans="1:46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</row>
    <row r="683" spans="1:46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</row>
    <row r="684" spans="1:46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</row>
    <row r="685" spans="1:46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</row>
    <row r="686" spans="1:46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</row>
    <row r="687" spans="1:46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</row>
    <row r="688" spans="1:46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</row>
    <row r="689" spans="1:46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</row>
    <row r="690" spans="1:46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</row>
    <row r="691" spans="1:46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</row>
    <row r="692" spans="1:46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</row>
    <row r="693" spans="1:46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</row>
    <row r="694" spans="1:46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</row>
    <row r="695" spans="1:46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</row>
    <row r="696" spans="1:46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</row>
    <row r="697" spans="1:46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</row>
    <row r="698" spans="1:46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</row>
    <row r="699" spans="1:46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</row>
    <row r="700" spans="1:46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</row>
    <row r="701" spans="1:46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</row>
    <row r="702" spans="1:46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</row>
    <row r="703" spans="1:46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</row>
    <row r="704" spans="1:46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</row>
    <row r="705" spans="1:46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</row>
    <row r="706" spans="1:46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</row>
    <row r="707" spans="1:46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</row>
    <row r="708" spans="1:46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</row>
    <row r="709" spans="1:46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</row>
    <row r="710" spans="1:46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</row>
    <row r="711" spans="1:46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</row>
    <row r="712" spans="1:46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</row>
    <row r="713" spans="1:46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</row>
    <row r="714" spans="1:46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</row>
    <row r="715" spans="1:46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</row>
    <row r="716" spans="1:46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</row>
    <row r="717" spans="1:46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</row>
    <row r="718" spans="1:46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</row>
    <row r="719" spans="1:46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</row>
    <row r="720" spans="1:46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</row>
    <row r="721" spans="1:46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</row>
    <row r="722" spans="1:46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</row>
    <row r="723" spans="1:46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</row>
    <row r="724" spans="1:46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</row>
    <row r="725" spans="1:46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</row>
    <row r="726" spans="1:46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</row>
    <row r="727" spans="1:46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</row>
    <row r="728" spans="1:46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</row>
    <row r="729" spans="1:46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</row>
    <row r="730" spans="1:46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</row>
    <row r="731" spans="1:46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</row>
    <row r="732" spans="1:46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</row>
    <row r="733" spans="1:46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</row>
    <row r="734" spans="1:46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</row>
    <row r="735" spans="1:46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</row>
    <row r="736" spans="1:46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</row>
    <row r="737" spans="1:46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</row>
    <row r="738" spans="1:46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</row>
    <row r="739" spans="1:46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</row>
    <row r="740" spans="1:46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</row>
    <row r="741" spans="1:46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</row>
    <row r="742" spans="1:46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</row>
    <row r="743" spans="1:46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</row>
    <row r="744" spans="1:46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</row>
    <row r="745" spans="1:46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</row>
    <row r="746" spans="1:46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</row>
    <row r="747" spans="1:46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</row>
    <row r="748" spans="1:46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</row>
    <row r="749" spans="1:46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</row>
    <row r="750" spans="1:46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</row>
    <row r="751" spans="1:46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</row>
    <row r="752" spans="1:46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</row>
    <row r="753" spans="1:46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</row>
    <row r="754" spans="1:46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</row>
    <row r="755" spans="1:46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</row>
    <row r="756" spans="1:46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</row>
    <row r="757" spans="1:46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</row>
    <row r="758" spans="1:46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</row>
    <row r="759" spans="1:46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</row>
    <row r="760" spans="1:46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</row>
    <row r="761" spans="1:46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</row>
    <row r="762" spans="1:46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</row>
    <row r="763" spans="1:46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</row>
    <row r="764" spans="1:46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</row>
    <row r="765" spans="1:46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</row>
    <row r="766" spans="1:46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</row>
    <row r="767" spans="1:46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</row>
    <row r="768" spans="1:46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</row>
    <row r="769" spans="1:46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</row>
    <row r="770" spans="1:46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</row>
    <row r="771" spans="1:46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</row>
    <row r="772" spans="1:46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</row>
    <row r="773" spans="1:46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</row>
    <row r="774" spans="1:46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</row>
    <row r="775" spans="1:46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</row>
    <row r="776" spans="1:46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</row>
    <row r="777" spans="1:46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</row>
    <row r="778" spans="1:46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</row>
    <row r="779" spans="1:46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</row>
    <row r="780" spans="1:46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</row>
    <row r="781" spans="1:46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</row>
    <row r="782" spans="1:46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</row>
    <row r="783" spans="1:46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</row>
    <row r="784" spans="1:46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</row>
    <row r="785" spans="1:46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</row>
    <row r="786" spans="1:46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</row>
    <row r="787" spans="1:46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</row>
    <row r="788" spans="1:46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</row>
    <row r="789" spans="1:46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</row>
    <row r="790" spans="1:46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</row>
    <row r="791" spans="1:46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</row>
    <row r="792" spans="1:46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</row>
    <row r="793" spans="1:46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</row>
    <row r="794" spans="1:46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</row>
    <row r="795" spans="1:46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</row>
    <row r="796" spans="1:46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</row>
    <row r="797" spans="1:46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</row>
    <row r="798" spans="1:46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</row>
    <row r="799" spans="1:46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</row>
    <row r="800" spans="1:46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</row>
    <row r="801" spans="1:46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</row>
    <row r="802" spans="1:46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</row>
    <row r="803" spans="1:46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</row>
    <row r="804" spans="1:46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</row>
    <row r="805" spans="1:46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</row>
    <row r="806" spans="1:46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</row>
    <row r="807" spans="1:46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</row>
    <row r="808" spans="1:46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</row>
    <row r="809" spans="1:46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</row>
    <row r="810" spans="1:46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</row>
    <row r="811" spans="1:46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</row>
    <row r="812" spans="1:46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</row>
    <row r="813" spans="1:46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</row>
    <row r="814" spans="1:46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</row>
    <row r="815" spans="1:46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</row>
    <row r="816" spans="1:46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</row>
    <row r="817" spans="1:46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</row>
    <row r="818" spans="1:46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</row>
    <row r="819" spans="1:46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</row>
    <row r="820" spans="1:46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</row>
    <row r="821" spans="1:46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</row>
    <row r="822" spans="1:46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</row>
    <row r="823" spans="1:46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</row>
    <row r="824" spans="1:46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</row>
    <row r="825" spans="1:46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</row>
    <row r="826" spans="1:46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</row>
    <row r="827" spans="1:46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</row>
    <row r="828" spans="1:46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</row>
    <row r="829" spans="1:46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</row>
    <row r="830" spans="1:46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</row>
    <row r="831" spans="1:46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</row>
    <row r="832" spans="1:46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</row>
    <row r="833" spans="1:46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</row>
    <row r="834" spans="1:46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</row>
    <row r="835" spans="1:46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</row>
    <row r="836" spans="1:46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</row>
    <row r="837" spans="1:46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</row>
    <row r="838" spans="1:46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</row>
    <row r="839" spans="1:46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</row>
    <row r="840" spans="1:46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</row>
    <row r="841" spans="1:46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</row>
    <row r="842" spans="1:46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</row>
    <row r="843" spans="1:46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</row>
    <row r="844" spans="1:46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</row>
    <row r="845" spans="1:46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</row>
    <row r="846" spans="1:46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</row>
    <row r="847" spans="1:46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</row>
    <row r="848" spans="1:46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</row>
    <row r="849" spans="1:46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</row>
    <row r="850" spans="1:46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</row>
    <row r="851" spans="1:46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</row>
    <row r="852" spans="1:46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</row>
    <row r="853" spans="1:46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</row>
    <row r="854" spans="1:46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</row>
    <row r="855" spans="1:46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</row>
    <row r="856" spans="1:46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</row>
    <row r="857" spans="1:46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</row>
    <row r="858" spans="1:46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</row>
    <row r="859" spans="1:46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</row>
    <row r="860" spans="1:46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</row>
    <row r="861" spans="1:46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</row>
    <row r="862" spans="1:46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</row>
    <row r="863" spans="1:46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</row>
    <row r="864" spans="1:46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</row>
    <row r="865" spans="1:46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</row>
    <row r="866" spans="1:46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</row>
    <row r="867" spans="1:46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</row>
    <row r="868" spans="1:46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</row>
    <row r="869" spans="1:46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</row>
    <row r="870" spans="1:46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</row>
    <row r="871" spans="1:46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</row>
    <row r="872" spans="1:46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</row>
    <row r="873" spans="1:46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</row>
    <row r="874" spans="1:46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</row>
    <row r="875" spans="1:46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</row>
    <row r="876" spans="1:46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</row>
    <row r="877" spans="1:46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</row>
    <row r="878" spans="1:46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</row>
    <row r="879" spans="1:46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</row>
    <row r="880" spans="1:46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</row>
    <row r="881" spans="1:46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</row>
    <row r="882" spans="1:46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</row>
    <row r="883" spans="1:46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</row>
    <row r="884" spans="1:46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</row>
    <row r="885" spans="1:46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</row>
    <row r="886" spans="1:46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</row>
    <row r="887" spans="1:46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</row>
    <row r="888" spans="1:46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</row>
    <row r="889" spans="1:46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</row>
    <row r="890" spans="1:46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</row>
    <row r="891" spans="1:46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</row>
    <row r="892" spans="1:46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</row>
    <row r="893" spans="1:46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</row>
    <row r="894" spans="1:46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</row>
    <row r="895" spans="1:46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</row>
    <row r="896" spans="1:46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</row>
    <row r="897" spans="1:46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</row>
    <row r="898" spans="1:46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</row>
    <row r="899" spans="1:46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</row>
    <row r="900" spans="1:46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</row>
    <row r="901" spans="1:46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</row>
    <row r="902" spans="1:46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</row>
    <row r="903" spans="1:46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</row>
    <row r="904" spans="1:46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</row>
    <row r="905" spans="1:46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</row>
    <row r="906" spans="1:46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</row>
    <row r="907" spans="1:46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</row>
    <row r="908" spans="1:46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</row>
    <row r="909" spans="1:46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</row>
    <row r="910" spans="1:46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</row>
    <row r="911" spans="1:46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</row>
    <row r="912" spans="1:46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</row>
    <row r="913" spans="1:46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</row>
    <row r="914" spans="1:46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</row>
    <row r="915" spans="1:46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</row>
    <row r="916" spans="1:46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</row>
    <row r="917" spans="1:46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</row>
    <row r="918" spans="1:46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</row>
    <row r="919" spans="1:46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</row>
    <row r="920" spans="1:46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</row>
    <row r="921" spans="1:46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</row>
    <row r="922" spans="1:46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</row>
    <row r="923" spans="1:46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</row>
    <row r="924" spans="1:46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</row>
    <row r="925" spans="1:46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</row>
    <row r="926" spans="1:46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</row>
    <row r="927" spans="1:46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</row>
    <row r="928" spans="1:46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</row>
    <row r="929" spans="1:46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</row>
    <row r="930" spans="1:46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</row>
    <row r="931" spans="1:46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</row>
    <row r="932" spans="1:46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</row>
    <row r="933" spans="1:46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</row>
    <row r="934" spans="1:46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</row>
    <row r="935" spans="1:46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</row>
    <row r="936" spans="1:46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</row>
    <row r="937" spans="1:46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</row>
    <row r="938" spans="1:46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</row>
    <row r="939" spans="1:46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</row>
    <row r="940" spans="1:46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</row>
    <row r="941" spans="1:46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</row>
    <row r="942" spans="1:46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</row>
    <row r="943" spans="1:46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</row>
    <row r="944" spans="1:46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</row>
    <row r="945" spans="1:46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</row>
    <row r="946" spans="1:46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</row>
    <row r="947" spans="1:46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</row>
    <row r="948" spans="1:46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</row>
    <row r="949" spans="1:46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</row>
    <row r="950" spans="1:46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</row>
    <row r="951" spans="1:46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</row>
    <row r="952" spans="1:46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</row>
    <row r="953" spans="1:46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</row>
    <row r="954" spans="1:46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</row>
    <row r="955" spans="1:46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</row>
    <row r="956" spans="1:46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</row>
    <row r="957" spans="1:46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</row>
    <row r="958" spans="1:46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</row>
    <row r="959" spans="1:46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</row>
    <row r="960" spans="1:46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</row>
    <row r="961" spans="1:46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</row>
    <row r="962" spans="1:46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</row>
    <row r="963" spans="1:46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</row>
    <row r="964" spans="1:46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</row>
    <row r="965" spans="1:46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</row>
    <row r="966" spans="1:46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</row>
    <row r="967" spans="1:46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</row>
    <row r="968" spans="1:46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</row>
    <row r="969" spans="1:46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</row>
    <row r="970" spans="1:46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</row>
    <row r="971" spans="1:46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</row>
    <row r="972" spans="1:46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</row>
    <row r="973" spans="1:46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</row>
    <row r="974" spans="1:46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</row>
    <row r="975" spans="1:46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</row>
    <row r="976" spans="1:46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</row>
    <row r="977" spans="1:46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</row>
    <row r="978" spans="1:46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</row>
    <row r="979" spans="1:46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</row>
    <row r="980" spans="1:46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</row>
    <row r="981" spans="1:46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</row>
    <row r="982" spans="1:46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</row>
    <row r="983" spans="1:46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</row>
    <row r="984" spans="1:46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</row>
    <row r="985" spans="1:46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</row>
    <row r="986" spans="1:46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</row>
    <row r="987" spans="1:46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</row>
    <row r="988" spans="1:46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</row>
    <row r="989" spans="1:46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</row>
    <row r="990" spans="1:46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</row>
    <row r="991" spans="1:46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</row>
    <row r="992" spans="1:46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</row>
    <row r="993" spans="1:46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</row>
    <row r="994" spans="1:46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</row>
    <row r="995" spans="1:46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</row>
    <row r="996" spans="1:46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</row>
    <row r="997" spans="1:46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</row>
    <row r="998" spans="1:46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</row>
    <row r="999" spans="1:46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</row>
    <row r="1000" spans="1:46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</row>
  </sheetData>
  <mergeCells count="132">
    <mergeCell ref="AA6:AA13"/>
    <mergeCell ref="AP6:AP13"/>
    <mergeCell ref="A1:P1"/>
    <mergeCell ref="A2:P2"/>
    <mergeCell ref="A4:A5"/>
    <mergeCell ref="B4:P4"/>
    <mergeCell ref="Q4:AE4"/>
    <mergeCell ref="AF4:AT4"/>
    <mergeCell ref="L6:L13"/>
    <mergeCell ref="B15:P15"/>
    <mergeCell ref="Q15:AE15"/>
    <mergeCell ref="L17:L24"/>
    <mergeCell ref="AA17:AA24"/>
    <mergeCell ref="A26:D26"/>
    <mergeCell ref="G27:H29"/>
    <mergeCell ref="Q27:AC27"/>
    <mergeCell ref="I27:P29"/>
    <mergeCell ref="Q28:S29"/>
    <mergeCell ref="T28:AC29"/>
    <mergeCell ref="T36:AC36"/>
    <mergeCell ref="T37:AC37"/>
    <mergeCell ref="T38:AC38"/>
    <mergeCell ref="T39:AC39"/>
    <mergeCell ref="Q39:S39"/>
    <mergeCell ref="G32:H32"/>
    <mergeCell ref="Q33:S33"/>
    <mergeCell ref="Q34:S34"/>
    <mergeCell ref="Q35:S35"/>
    <mergeCell ref="Q36:S36"/>
    <mergeCell ref="Q37:S37"/>
    <mergeCell ref="I38:P39"/>
    <mergeCell ref="Q38:S38"/>
    <mergeCell ref="G36:H36"/>
    <mergeCell ref="G37:H37"/>
    <mergeCell ref="T30:AC30"/>
    <mergeCell ref="T31:AC31"/>
    <mergeCell ref="T32:AC32"/>
    <mergeCell ref="T33:AC33"/>
    <mergeCell ref="T34:AC34"/>
    <mergeCell ref="T35:AC35"/>
    <mergeCell ref="G30:H30"/>
    <mergeCell ref="Q30:S30"/>
    <mergeCell ref="G31:H31"/>
    <mergeCell ref="Q31:S31"/>
    <mergeCell ref="Q32:S32"/>
    <mergeCell ref="G33:H33"/>
    <mergeCell ref="G34:H34"/>
    <mergeCell ref="G35:H35"/>
    <mergeCell ref="G49:H49"/>
    <mergeCell ref="I49:P49"/>
    <mergeCell ref="Q49:S49"/>
    <mergeCell ref="Q45:S45"/>
    <mergeCell ref="I46:P47"/>
    <mergeCell ref="Q46:S46"/>
    <mergeCell ref="G50:H50"/>
    <mergeCell ref="G51:H51"/>
    <mergeCell ref="G52:H52"/>
    <mergeCell ref="G53:H53"/>
    <mergeCell ref="G54:H54"/>
    <mergeCell ref="G55:H55"/>
    <mergeCell ref="G56:H56"/>
    <mergeCell ref="Q60:S60"/>
    <mergeCell ref="Q57:S57"/>
    <mergeCell ref="I53:P53"/>
    <mergeCell ref="Q53:S53"/>
    <mergeCell ref="I54:P54"/>
    <mergeCell ref="Q54:S54"/>
    <mergeCell ref="G57:H57"/>
    <mergeCell ref="G58:H58"/>
    <mergeCell ref="G59:H59"/>
    <mergeCell ref="G60:H60"/>
    <mergeCell ref="G61:H61"/>
    <mergeCell ref="T60:AC60"/>
    <mergeCell ref="I61:P61"/>
    <mergeCell ref="Q61:S61"/>
    <mergeCell ref="T61:AC61"/>
    <mergeCell ref="I62:P62"/>
    <mergeCell ref="Q62:S62"/>
    <mergeCell ref="T62:AC62"/>
    <mergeCell ref="I58:P58"/>
    <mergeCell ref="Q58:S58"/>
    <mergeCell ref="T58:AC58"/>
    <mergeCell ref="I59:P59"/>
    <mergeCell ref="Q59:S59"/>
    <mergeCell ref="T59:AC59"/>
    <mergeCell ref="I60:P60"/>
    <mergeCell ref="G62:H62"/>
    <mergeCell ref="T46:AC46"/>
    <mergeCell ref="Q47:S47"/>
    <mergeCell ref="T47:AC47"/>
    <mergeCell ref="I48:P48"/>
    <mergeCell ref="F38:F39"/>
    <mergeCell ref="F41:F42"/>
    <mergeCell ref="G41:H42"/>
    <mergeCell ref="I41:P42"/>
    <mergeCell ref="Q41:S41"/>
    <mergeCell ref="Q42:S42"/>
    <mergeCell ref="Q43:S43"/>
    <mergeCell ref="Q44:S44"/>
    <mergeCell ref="Q48:S48"/>
    <mergeCell ref="G38:H39"/>
    <mergeCell ref="G40:H40"/>
    <mergeCell ref="G43:H43"/>
    <mergeCell ref="G44:H44"/>
    <mergeCell ref="G45:H45"/>
    <mergeCell ref="F46:F47"/>
    <mergeCell ref="G46:H47"/>
    <mergeCell ref="Q40:S40"/>
    <mergeCell ref="G48:H48"/>
    <mergeCell ref="T40:AC40"/>
    <mergeCell ref="T41:AC41"/>
    <mergeCell ref="T57:AC57"/>
    <mergeCell ref="I55:P55"/>
    <mergeCell ref="Q55:S55"/>
    <mergeCell ref="T55:AC55"/>
    <mergeCell ref="I56:P56"/>
    <mergeCell ref="Q56:S56"/>
    <mergeCell ref="T56:AC56"/>
    <mergeCell ref="I57:P57"/>
    <mergeCell ref="T48:AC48"/>
    <mergeCell ref="T49:AC49"/>
    <mergeCell ref="T50:AC50"/>
    <mergeCell ref="T51:AC51"/>
    <mergeCell ref="T52:AC52"/>
    <mergeCell ref="T53:AC53"/>
    <mergeCell ref="T54:AC54"/>
    <mergeCell ref="I50:P50"/>
    <mergeCell ref="Q50:S50"/>
    <mergeCell ref="Q51:S51"/>
    <mergeCell ref="I51:P51"/>
    <mergeCell ref="I52:P52"/>
    <mergeCell ref="Q52:S52"/>
  </mergeCells>
  <pageMargins left="0.78740157480314965" right="0.70866141732283472" top="0.74803149606299213" bottom="0.74803149606299213" header="0" footer="0"/>
  <pageSetup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RESTRIBUSI MASTER</vt:lpstr>
      <vt:lpstr>KD-MAPEL master</vt:lpstr>
      <vt:lpstr>Sheet1</vt:lpstr>
      <vt:lpstr>Sheet2</vt:lpstr>
      <vt:lpstr>TITL</vt:lpstr>
      <vt:lpstr>JADWAL TERBARU XXXX</vt:lpstr>
      <vt:lpstr>jdlx</vt:lpstr>
      <vt:lpstr>'KD-MAPEL master'!KDMAPEL</vt:lpstr>
      <vt:lpstr>'RESTRIBUSI MASTER'!RESTRIBUSI</vt:lpstr>
      <vt:lpstr>RPL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2024-07-29T02:06:41Z</dcterms:modified>
</cp:coreProperties>
</file>